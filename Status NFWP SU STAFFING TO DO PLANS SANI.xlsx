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fatogun_worldbank_org/Documents/Desktop/"/>
    </mc:Choice>
  </mc:AlternateContent>
  <xr:revisionPtr revIDLastSave="0" documentId="8_{F3B76236-0B06-4A8D-AC3F-237ED287F63E}" xr6:coauthVersionLast="47" xr6:coauthVersionMax="47" xr10:uidLastSave="{00000000-0000-0000-0000-000000000000}"/>
  <bookViews>
    <workbookView xWindow="-110" yWindow="-110" windowWidth="19420" windowHeight="10300" activeTab="1" xr2:uid="{6B021172-C3F2-42D8-A283-64C3F3CA4F71}"/>
  </bookViews>
  <sheets>
    <sheet name="SCORECARD" sheetId="1" r:id="rId1"/>
    <sheet name="GOVERNMENT CONTRIBUTION" sheetId="9" r:id="rId2"/>
    <sheet name="M and E training" sheetId="2" r:id="rId3"/>
    <sheet name="November" sheetId="5" r:id="rId4"/>
    <sheet name="December" sheetId="6" r:id="rId5"/>
  </sheets>
  <externalReferences>
    <externalReference r:id="rId6"/>
  </externalReferences>
  <definedNames>
    <definedName name="CalendarYear">[1]January!$K$3</definedName>
    <definedName name="ColumnTitleRegion1..H12.10">#REF!</definedName>
    <definedName name="ColumnTitleRegion1..H12.11">November!$B$2</definedName>
    <definedName name="ColumnTitleRegion1..H12.12">December!$B$2</definedName>
    <definedName name="ColumnTitleRegion2..C14.10">#REF!</definedName>
    <definedName name="ColumnTitleRegion2..C14.11">November!$B$2</definedName>
    <definedName name="ColumnTitleRegion2..C14.12">December!$B$2</definedName>
    <definedName name="DaysAndWeeks" localSheetId="4">{0,1,2,3,4,5,6} + {0;1;2;3;4;5}*7</definedName>
    <definedName name="DaysAndWeeks" localSheetId="3">{0,1,2,3,4,5,6} + {0;1;2;3;4;5}*7</definedName>
    <definedName name="DaysAndWeeks">{0,1,2,3,4,5,6} + {0;1;2;3;4;5}*7</definedName>
    <definedName name="WeekStart">[1]January!$K$4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2" i="6"/>
  <c r="B3" i="6" a="1"/>
  <c r="B3" i="6" s="1"/>
  <c r="B5" i="6" a="1"/>
  <c r="E5" i="6" s="1"/>
  <c r="B7" i="6" a="1"/>
  <c r="B7" i="6" s="1"/>
  <c r="B9" i="6" a="1"/>
  <c r="B9" i="6" s="1"/>
  <c r="B11" i="6" a="1"/>
  <c r="E11" i="6" s="1"/>
  <c r="B13" i="6" a="1"/>
  <c r="C13" i="6" s="1"/>
  <c r="B1" i="5"/>
  <c r="B2" i="5"/>
  <c r="B3" i="5" a="1"/>
  <c r="E3" i="5" s="1"/>
  <c r="E2" i="5" s="1"/>
  <c r="B5" i="5" a="1"/>
  <c r="B5" i="5" s="1"/>
  <c r="B7" i="5" a="1"/>
  <c r="C7" i="5" s="1"/>
  <c r="B9" i="5" a="1"/>
  <c r="G9" i="5" s="1"/>
  <c r="B11" i="5" a="1"/>
  <c r="B11" i="5" s="1"/>
  <c r="B13" i="5" a="1"/>
  <c r="C13" i="5" s="1"/>
  <c r="C11" i="6" l="1"/>
  <c r="B11" i="6"/>
  <c r="G7" i="6"/>
  <c r="F7" i="6"/>
  <c r="E7" i="6"/>
  <c r="D7" i="6"/>
  <c r="C5" i="6"/>
  <c r="B5" i="6"/>
  <c r="H3" i="6"/>
  <c r="H2" i="6" s="1"/>
  <c r="H7" i="6"/>
  <c r="G3" i="6"/>
  <c r="G2" i="6" s="1"/>
  <c r="F3" i="6"/>
  <c r="F2" i="6" s="1"/>
  <c r="B13" i="6"/>
  <c r="C7" i="6"/>
  <c r="D11" i="6"/>
  <c r="D5" i="6"/>
  <c r="H9" i="6"/>
  <c r="F9" i="6"/>
  <c r="E9" i="6"/>
  <c r="H11" i="6"/>
  <c r="D9" i="6"/>
  <c r="H5" i="6"/>
  <c r="D3" i="6"/>
  <c r="D2" i="6" s="1"/>
  <c r="G11" i="6"/>
  <c r="C9" i="6"/>
  <c r="G5" i="6"/>
  <c r="C3" i="6"/>
  <c r="C2" i="6" s="1"/>
  <c r="G9" i="6"/>
  <c r="E3" i="6"/>
  <c r="E2" i="6" s="1"/>
  <c r="F11" i="6"/>
  <c r="F5" i="6"/>
  <c r="F9" i="5"/>
  <c r="F3" i="5"/>
  <c r="F2" i="5" s="1"/>
  <c r="B13" i="5"/>
  <c r="E9" i="5"/>
  <c r="H11" i="5"/>
  <c r="D9" i="5"/>
  <c r="H5" i="5"/>
  <c r="D3" i="5"/>
  <c r="D2" i="5" s="1"/>
  <c r="G11" i="5"/>
  <c r="C9" i="5"/>
  <c r="G5" i="5"/>
  <c r="C3" i="5"/>
  <c r="C2" i="5" s="1"/>
  <c r="F11" i="5"/>
  <c r="B9" i="5"/>
  <c r="F5" i="5"/>
  <c r="B3" i="5"/>
  <c r="E11" i="5"/>
  <c r="E5" i="5"/>
  <c r="C11" i="5"/>
  <c r="G7" i="5"/>
  <c r="C5" i="5"/>
  <c r="E7" i="5"/>
  <c r="B7" i="5"/>
  <c r="D11" i="5"/>
  <c r="H7" i="5"/>
  <c r="D5" i="5"/>
  <c r="F7" i="5"/>
  <c r="H9" i="5"/>
  <c r="D7" i="5"/>
  <c r="H3" i="5"/>
  <c r="H2" i="5" s="1"/>
  <c r="G3" i="5"/>
  <c r="G2" i="5" s="1"/>
  <c r="G41" i="2" l="1"/>
  <c r="J5" i="2"/>
  <c r="J4" i="2"/>
  <c r="J3" i="2"/>
  <c r="E46" i="1" l="1"/>
</calcChain>
</file>

<file path=xl/sharedStrings.xml><?xml version="1.0" encoding="utf-8"?>
<sst xmlns="http://schemas.openxmlformats.org/spreadsheetml/2006/main" count="572" uniqueCount="189">
  <si>
    <t>S/N</t>
  </si>
  <si>
    <t>State</t>
  </si>
  <si>
    <t>SLA</t>
  </si>
  <si>
    <t>Disbursement - million</t>
  </si>
  <si>
    <t xml:space="preserve">Start Up Staff </t>
  </si>
  <si>
    <t xml:space="preserve">Peer Learning </t>
  </si>
  <si>
    <t>Orientation and AWPB</t>
  </si>
  <si>
    <t xml:space="preserve">AWPB </t>
  </si>
  <si>
    <t xml:space="preserve">LGA </t>
  </si>
  <si>
    <t>COM</t>
  </si>
  <si>
    <t xml:space="preserve">Full Staff – Others </t>
  </si>
  <si>
    <t>LPIU Staffing</t>
  </si>
  <si>
    <t>WF Staffing</t>
  </si>
  <si>
    <t xml:space="preserve">WAG FORMATION </t>
  </si>
  <si>
    <t xml:space="preserve">Comment or remark </t>
  </si>
  <si>
    <t xml:space="preserve">Approved </t>
  </si>
  <si>
    <t>Ekiti</t>
  </si>
  <si>
    <t>Yes</t>
  </si>
  <si>
    <t>Proj Sec</t>
  </si>
  <si>
    <t xml:space="preserve">Efon Cleared – 96 BUT ONLY 67 showed up for training, Cleared Aiyekirie and Moba </t>
  </si>
  <si>
    <t xml:space="preserve">No </t>
  </si>
  <si>
    <t>Katsina</t>
  </si>
  <si>
    <t>SPC</t>
  </si>
  <si>
    <t xml:space="preserve">Yes </t>
  </si>
  <si>
    <t>Outstanding LFS and WAGSO -1 Funtua</t>
  </si>
  <si>
    <t>Daura 76 Cleared</t>
  </si>
  <si>
    <t>Ogun</t>
  </si>
  <si>
    <t>N/A</t>
  </si>
  <si>
    <t>No</t>
  </si>
  <si>
    <t xml:space="preserve">BCC Anchor </t>
  </si>
  <si>
    <t>Kebbi</t>
  </si>
  <si>
    <t>Outstanding Dandi</t>
  </si>
  <si>
    <t>Taraba</t>
  </si>
  <si>
    <t>Zuru - 120</t>
  </si>
  <si>
    <t>Jigawa</t>
  </si>
  <si>
    <t>Dutse - 96</t>
  </si>
  <si>
    <t xml:space="preserve">Susan , Tope, Sam, Frank, Ishowo , Yvonne - 2 outstanding LGAs </t>
  </si>
  <si>
    <t>Nasarawa</t>
  </si>
  <si>
    <t>To redo LPIU</t>
  </si>
  <si>
    <t>Delta</t>
  </si>
  <si>
    <t xml:space="preserve">Uche and Sam reviewing </t>
  </si>
  <si>
    <t>Kogi</t>
  </si>
  <si>
    <t>Borno</t>
  </si>
  <si>
    <t xml:space="preserve">Outstanding LFS Marte </t>
  </si>
  <si>
    <t>Bayelsa</t>
  </si>
  <si>
    <t>Yes- incomplete (Procurement and HOP)</t>
  </si>
  <si>
    <t>Y</t>
  </si>
  <si>
    <t xml:space="preserve">Not well done </t>
  </si>
  <si>
    <t>Ebonyi</t>
  </si>
  <si>
    <t>N</t>
  </si>
  <si>
    <t>Outstanding MIS , E and S team,CIB, LLH , BCC Anchor , IT support staff</t>
  </si>
  <si>
    <t>Izzi – Yes and Akpi – LFS and 2 wagsos outstanding</t>
  </si>
  <si>
    <t>Yobe</t>
  </si>
  <si>
    <t>Adamawa</t>
  </si>
  <si>
    <t>Outstanding CIB Advisor and E and S Officer</t>
  </si>
  <si>
    <t xml:space="preserve">Charity and Tope, Social - Lawyer and schooled in francophone </t>
  </si>
  <si>
    <t>Zamfara</t>
  </si>
  <si>
    <t>Kwara</t>
  </si>
  <si>
    <t xml:space="preserve">Outstanding LLH team, Env, Social Advisor CIB team, BCC Advisor , Proj Sec </t>
  </si>
  <si>
    <t>Gombe</t>
  </si>
  <si>
    <t>Yes (Pending HOP review)</t>
  </si>
  <si>
    <t xml:space="preserve">Outstanding LFS Balanga , LPIU Funakaye and Yelteda </t>
  </si>
  <si>
    <t>Anambra</t>
  </si>
  <si>
    <t>Ondo</t>
  </si>
  <si>
    <t>Yes (Pending procurement officer)</t>
  </si>
  <si>
    <t>Abia</t>
  </si>
  <si>
    <t>Akwa Ibom</t>
  </si>
  <si>
    <t>Niger</t>
  </si>
  <si>
    <t>Bauchi</t>
  </si>
  <si>
    <t>Cross River</t>
  </si>
  <si>
    <t>Sokoto</t>
  </si>
  <si>
    <t>Outstanding PO</t>
  </si>
  <si>
    <t>Osun</t>
  </si>
  <si>
    <t>Plateau</t>
  </si>
  <si>
    <t>Benue</t>
  </si>
  <si>
    <t>Enugu</t>
  </si>
  <si>
    <t>Edo</t>
  </si>
  <si>
    <t>Lagos</t>
  </si>
  <si>
    <t>Kano</t>
  </si>
  <si>
    <t>Kaduna</t>
  </si>
  <si>
    <t>FCT</t>
  </si>
  <si>
    <t>Oyo</t>
  </si>
  <si>
    <t>Federal</t>
  </si>
  <si>
    <t>a.	TOR for SRA and sample SRA and SRM from other projects
b.	Sample GM for project workers and community workers that can guide the NFWP.</t>
  </si>
  <si>
    <t xml:space="preserve">States </t>
  </si>
  <si>
    <t xml:space="preserve">M&amp;E Anchor </t>
  </si>
  <si>
    <t xml:space="preserve">M&amp;E Advisor </t>
  </si>
  <si>
    <t xml:space="preserve">MIS Specialist </t>
  </si>
  <si>
    <t xml:space="preserve">Others </t>
  </si>
  <si>
    <t>Total</t>
  </si>
  <si>
    <t>TOTAL STATES TRAINED</t>
  </si>
  <si>
    <t xml:space="preserve">Did not attend </t>
  </si>
  <si>
    <t>STATES NOT TRAINED</t>
  </si>
  <si>
    <t>Kenan Allahdon</t>
  </si>
  <si>
    <t xml:space="preserve">TOTAL PERSONS TRAINED </t>
  </si>
  <si>
    <t>OGBE AYAWEI</t>
  </si>
  <si>
    <t>Avwomakpa Revival</t>
  </si>
  <si>
    <t>Oderhohwo Faith Oberhiri</t>
  </si>
  <si>
    <t xml:space="preserve">Bobi Onoriode Zion </t>
  </si>
  <si>
    <t>Akindoyeni Temitope Lizzy</t>
  </si>
  <si>
    <t>Ayeni Oluwasola</t>
  </si>
  <si>
    <t xml:space="preserve">Adermnole Stephen </t>
  </si>
  <si>
    <t>Imo</t>
  </si>
  <si>
    <t xml:space="preserve">Ibrahim Adamu </t>
  </si>
  <si>
    <t>Muhammad Huwal Sani</t>
  </si>
  <si>
    <t>Mubaram Jibril</t>
  </si>
  <si>
    <t xml:space="preserve">Auwal Abubakar Aminu </t>
  </si>
  <si>
    <t>Ibrahim Hamisu</t>
  </si>
  <si>
    <t>Aminu Abdullah Yari</t>
  </si>
  <si>
    <t>Suleiman Ahmad Fingilla</t>
  </si>
  <si>
    <t xml:space="preserve">Mustapha Malami IDINA </t>
  </si>
  <si>
    <t>Kashim Idakwo</t>
  </si>
  <si>
    <t xml:space="preserve">Joseph Sunday Are </t>
  </si>
  <si>
    <t xml:space="preserve">Gimba Adamu Usman </t>
  </si>
  <si>
    <t xml:space="preserve">Ahmad Mohammed </t>
  </si>
  <si>
    <t>Abubakar Saliadsi Alhassam</t>
  </si>
  <si>
    <t>Adekoya Adeoluwa Adekunle</t>
  </si>
  <si>
    <t xml:space="preserve">Ibrahim Yusuf </t>
  </si>
  <si>
    <t>Rivers</t>
  </si>
  <si>
    <t>Kalavo Thomas Kwalla</t>
  </si>
  <si>
    <t>Rika J.J. Danbeki</t>
  </si>
  <si>
    <t>Gambo Emmanuel Asogume</t>
  </si>
  <si>
    <t>Federal Capital Territory (FCT): Abuja</t>
  </si>
  <si>
    <t xml:space="preserve">Adeniji Ismael Adelami </t>
  </si>
  <si>
    <t xml:space="preserve">Peer Learning -  CRS , Enugu , Bauchi, Oyo , Lagos and ,Sokoto </t>
  </si>
  <si>
    <t>Batch 1 Orientation - Abia, CRS , Enugu , Lagos and ,Sokoto , HC and PO Anambra , PO Kwara and any state that may not have attended orientation</t>
  </si>
  <si>
    <t>Batch 2 Orientation - Abia , Akwa Ibom, Niger,  Bauchi and Oyo</t>
  </si>
  <si>
    <t xml:space="preserve">Batch 1 COM  - Borno, Yobe , Kogi and Adamawa 
TT - Dr Funke and Uchenna 
FPCU 
SPCU - Ibrahim , Rita , Ande , Taiwo </t>
  </si>
  <si>
    <t xml:space="preserve">Batch 2 - COM Delta,  Niger, Nasarawa, Gombe  - Uchenna and Dr Funke 
SPCU- Ajibade , Taiwo , Katsina Lady -, Rita </t>
  </si>
  <si>
    <t xml:space="preserve">Yola - Charity 
Sokoto - TTL , IERD 
Lagos / Ibadan - Yetunde 
Gombe - Funke and Eyong </t>
  </si>
  <si>
    <t xml:space="preserve">Yetunde - Lagos 
Yobe - Charity and ??
Zamfara - FPCU, Koko and Suleiman </t>
  </si>
  <si>
    <t xml:space="preserve">
 Ebonyi, Cross River, Abia and Enugu in the coming days.
</t>
  </si>
  <si>
    <t xml:space="preserve">Yobe - Charity and ??
Orientation STA 
Zamfara - FPCU, Koko and Suleiman 
</t>
  </si>
  <si>
    <t xml:space="preserve">Yobe - Charity 
Zamfara - FPCU, Koko and Suleiman </t>
  </si>
  <si>
    <t xml:space="preserve">Yobe - Charity 
Zamfara - FPCU, Koko and Suleiman 
CRS - Michael and Eyong
Abia - Uchenna </t>
  </si>
  <si>
    <t xml:space="preserve">COM SECRETARIAT MEETING
Zamfara - FPCU, Koko and Suleiman 
CRS - Michael and Eyong
Abia - Uchenna </t>
  </si>
  <si>
    <t xml:space="preserve">ORIENTATION 
COM BATCH 1 
Michael - Ekiti </t>
  </si>
  <si>
    <t>ORIENTATION 
COM BATCH 1 
Michael - Ekiti 
Nasarawa - Ibrahim</t>
  </si>
  <si>
    <t xml:space="preserve">
ORIENTATION 
Michael - Ekiti 
Nasarawa - Ibrahim</t>
  </si>
  <si>
    <t xml:space="preserve">ORIENTATION 
COM BATCH 1 
</t>
  </si>
  <si>
    <t xml:space="preserve">COM - BATCH 1 
COM - BATCH 2 starts </t>
  </si>
  <si>
    <t xml:space="preserve">COM - BATCH 1 and 2 </t>
  </si>
  <si>
    <t xml:space="preserve">COM - BATCH1 and 2 </t>
  </si>
  <si>
    <t xml:space="preserve">COM - BATCH 2 
COM - BATCH 3 starts </t>
  </si>
  <si>
    <t>Notes</t>
  </si>
  <si>
    <t>COM - BATCH 2 and 3</t>
  </si>
  <si>
    <t>COM - BATCH 3</t>
  </si>
  <si>
    <t xml:space="preserve">Batch 3 - COM Kwara, Ondo ,Bayelsa Abia and Akwa Ibom 
Ajibade , Taiwo , Katsina Lady -, Rita </t>
  </si>
  <si>
    <t>MICHAEL - SOKOTO
YETUNDE - OGUN</t>
  </si>
  <si>
    <t xml:space="preserve">MICHAEL - SOKOTO
YETUNDE - OGUN
MISSION DEBRIEF - CMU </t>
  </si>
  <si>
    <t xml:space="preserve">MICHAEL - SOKOTO
YETUNDE - OGUN
MISSION DEBRIEF -IERD </t>
  </si>
  <si>
    <t xml:space="preserve">MICHAEL - SOKOTO
YETUNDE - OGUN
AIDE MEMOIRE READY </t>
  </si>
  <si>
    <t xml:space="preserve">DEBRIEF WITH TEAM </t>
  </si>
  <si>
    <t xml:space="preserve"> M &amp;E Anchor and CIB Anchor </t>
  </si>
  <si>
    <t>PO</t>
  </si>
  <si>
    <t xml:space="preserve">COM - BATCH 3
Charity </t>
  </si>
  <si>
    <t>Mission Abuja 
Charity Sokoto</t>
  </si>
  <si>
    <t>MEETING WITH HCOWA AND SPCS IN ABUJA 
Charity Sokoto</t>
  </si>
  <si>
    <t>FM/PROC
Charity Sokoto</t>
  </si>
  <si>
    <t xml:space="preserve">PA </t>
  </si>
  <si>
    <t>SPC , HOP and PO</t>
  </si>
  <si>
    <t>SPC, PIA and PA</t>
  </si>
  <si>
    <t>SPC AND PO</t>
  </si>
  <si>
    <t>Daura
Funtua
Katsina</t>
  </si>
  <si>
    <t>Daura 
Funtua
Katsina</t>
  </si>
  <si>
    <t>Ado Ota
Ifo 
Sagamu
Ijebu Ode</t>
  </si>
  <si>
    <t>Social GBV team</t>
  </si>
  <si>
    <t xml:space="preserve">OutB Team and M and E team, </t>
  </si>
  <si>
    <t xml:space="preserve">Susan and Busayo additional Moba </t>
  </si>
  <si>
    <t>Dutse, Kazaure, Malamadori</t>
  </si>
  <si>
    <t>Awe, Nasarawa and Wamba</t>
  </si>
  <si>
    <t>Ika North East, Ethiope East, Warri North</t>
  </si>
  <si>
    <t>Dekina, Okene, Yagba East</t>
  </si>
  <si>
    <t>Damboa, Marte, Dikwa</t>
  </si>
  <si>
    <t>Sagbama, Ogbia, Kolokuma Opkpokuma</t>
  </si>
  <si>
    <t>Izzi, Ikwo, Afikpo</t>
  </si>
  <si>
    <t>Fune, Gujba, Nguru</t>
  </si>
  <si>
    <t>Numan, Madgali, Fufore</t>
  </si>
  <si>
    <t>Kaura Namoda, Gusau, Maradun</t>
  </si>
  <si>
    <t>Ifelodun, Moro, Asa</t>
  </si>
  <si>
    <t>Yamaltu Deba, Balanga, Funakaye</t>
  </si>
  <si>
    <t>Njikoka, Ogbaru, Aguata</t>
  </si>
  <si>
    <t>Akoko North West, Akure North, Ilaje</t>
  </si>
  <si>
    <t>Nsukka, Nkanu, Udi</t>
  </si>
  <si>
    <t xml:space="preserve">Finance Officer and GBV Advisor </t>
  </si>
  <si>
    <t>Zuru
Birinin Kebbi
Dandi</t>
  </si>
  <si>
    <t>Wukari
Karim Lamido
Sardauna</t>
  </si>
  <si>
    <t xml:space="preserve">Rivers </t>
  </si>
  <si>
    <t>State yet to provide PA and 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</si>
</sst>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31" x14ac:knownFonts="1">
    <font>
      <sz val="11"/>
      <color theme="1"/>
      <name val="Aptos Narrow"/>
      <family val="2"/>
      <scheme val="minor"/>
    </font>
    <font>
      <sz val="9"/>
      <color rgb="FF595959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sz val="12"/>
      <color theme="1"/>
      <name val="Aptos"/>
      <family val="2"/>
    </font>
    <font>
      <sz val="11"/>
      <color theme="1" tint="0.24994659260841701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i/>
      <sz val="11"/>
      <color theme="1" tint="0.34998626667073579"/>
      <name val="Aptos Narrow"/>
      <family val="2"/>
      <charset val="238"/>
      <scheme val="minor"/>
    </font>
    <font>
      <b/>
      <sz val="11"/>
      <color theme="1" tint="0.34998626667073579"/>
      <name val="Aptos Narrow"/>
      <family val="2"/>
      <charset val="238"/>
      <scheme val="minor"/>
    </font>
    <font>
      <sz val="11"/>
      <color theme="1"/>
      <name val="Aptos Display"/>
      <family val="1"/>
      <scheme val="major"/>
    </font>
    <font>
      <sz val="35"/>
      <color theme="4"/>
      <name val="Aptos Narrow"/>
      <family val="2"/>
      <scheme val="minor"/>
    </font>
    <font>
      <sz val="11"/>
      <color theme="4" tint="-0.24994659260841701"/>
      <name val="Aptos Narrow"/>
      <family val="2"/>
      <scheme val="minor"/>
    </font>
    <font>
      <sz val="35"/>
      <color theme="1"/>
      <name val="Aptos Display"/>
      <family val="1"/>
      <scheme val="major"/>
    </font>
    <font>
      <sz val="35"/>
      <color theme="0"/>
      <name val="Aptos Display"/>
      <family val="1"/>
      <scheme val="major"/>
    </font>
    <font>
      <sz val="14"/>
      <color rgb="FF595959"/>
      <name val="Century Gothic"/>
      <family val="2"/>
    </font>
    <font>
      <b/>
      <sz val="14"/>
      <name val="Century Gothic"/>
      <family val="2"/>
    </font>
    <font>
      <b/>
      <sz val="14"/>
      <color rgb="FF000000"/>
      <name val="Century Gothic"/>
      <family val="2"/>
    </font>
    <font>
      <b/>
      <sz val="14"/>
      <color rgb="FF595959"/>
      <name val="Century Gothic"/>
      <family val="2"/>
    </font>
    <font>
      <b/>
      <sz val="14"/>
      <color rgb="FFFF0000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9"/>
      <color theme="1"/>
      <name val="Century Gothic"/>
      <family val="2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Century Gothic"/>
      <family val="2"/>
    </font>
    <font>
      <b/>
      <sz val="11"/>
      <color theme="1" tint="0.2499465926084170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rgb="FF000000"/>
      <name val="Aptos Narrow"/>
    </font>
    <font>
      <b/>
      <sz val="14"/>
      <color rgb="FF000000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B6D3F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7" fillId="0" borderId="0">
      <alignment vertical="top"/>
    </xf>
    <xf numFmtId="0" fontId="8" fillId="12" borderId="0" applyBorder="0" applyProtection="0">
      <alignment horizontal="left" vertical="top" wrapText="1" indent="1"/>
    </xf>
    <xf numFmtId="164" fontId="8" fillId="13" borderId="0">
      <alignment horizontal="left" wrapText="1" indent="1"/>
    </xf>
    <xf numFmtId="164" fontId="10" fillId="0" borderId="0">
      <alignment horizontal="left" indent="1"/>
    </xf>
    <xf numFmtId="0" fontId="11" fillId="0" borderId="18">
      <alignment horizontal="left" vertical="center" indent="1"/>
    </xf>
    <xf numFmtId="0" fontId="12" fillId="0" borderId="0" applyFill="0" applyBorder="0" applyProtection="0">
      <alignment vertical="center"/>
    </xf>
    <xf numFmtId="0" fontId="13" fillId="0" borderId="19" applyNumberFormat="0" applyFill="0" applyProtection="0">
      <alignment horizontal="left" vertical="center" indent="1"/>
    </xf>
    <xf numFmtId="0" fontId="14" fillId="14" borderId="0">
      <alignment vertical="center"/>
    </xf>
  </cellStyleXfs>
  <cellXfs count="105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3" fillId="7" borderId="5" xfId="0" applyFont="1" applyFill="1" applyBorder="1"/>
    <xf numFmtId="0" fontId="5" fillId="8" borderId="7" xfId="0" applyFont="1" applyFill="1" applyBorder="1"/>
    <xf numFmtId="0" fontId="3" fillId="8" borderId="7" xfId="0" applyFont="1" applyFill="1" applyBorder="1"/>
    <xf numFmtId="0" fontId="6" fillId="0" borderId="5" xfId="0" applyFont="1" applyBorder="1" applyAlignment="1">
      <alignment horizontal="left" vertical="center" indent="2"/>
    </xf>
    <xf numFmtId="0" fontId="0" fillId="0" borderId="5" xfId="0" applyBorder="1"/>
    <xf numFmtId="0" fontId="0" fillId="9" borderId="5" xfId="0" applyFill="1" applyBorder="1"/>
    <xf numFmtId="0" fontId="2" fillId="9" borderId="5" xfId="0" applyFont="1" applyFill="1" applyBorder="1"/>
    <xf numFmtId="0" fontId="6" fillId="9" borderId="8" xfId="0" applyFont="1" applyFill="1" applyBorder="1" applyAlignment="1">
      <alignment vertical="center" wrapText="1"/>
    </xf>
    <xf numFmtId="0" fontId="0" fillId="3" borderId="5" xfId="0" applyFill="1" applyBorder="1"/>
    <xf numFmtId="0" fontId="0" fillId="4" borderId="5" xfId="0" applyFill="1" applyBorder="1"/>
    <xf numFmtId="0" fontId="0" fillId="0" borderId="6" xfId="0" applyBorder="1"/>
    <xf numFmtId="0" fontId="6" fillId="0" borderId="5" xfId="0" applyFont="1" applyBorder="1" applyAlignment="1">
      <alignment horizontal="left" vertical="center" wrapText="1" indent="2"/>
    </xf>
    <xf numFmtId="0" fontId="0" fillId="10" borderId="5" xfId="0" applyFill="1" applyBorder="1" applyAlignment="1">
      <alignment wrapText="1"/>
    </xf>
    <xf numFmtId="0" fontId="0" fillId="0" borderId="5" xfId="0" applyBorder="1" applyAlignment="1">
      <alignment vertical="top"/>
    </xf>
    <xf numFmtId="0" fontId="7" fillId="0" borderId="0" xfId="1">
      <alignment vertical="top"/>
    </xf>
    <xf numFmtId="0" fontId="8" fillId="11" borderId="14" xfId="2" applyFill="1" applyBorder="1" applyAlignment="1">
      <alignment vertical="top" wrapText="1"/>
    </xf>
    <xf numFmtId="164" fontId="8" fillId="13" borderId="0" xfId="3">
      <alignment horizontal="left" wrapText="1" indent="1"/>
    </xf>
    <xf numFmtId="164" fontId="9" fillId="11" borderId="17" xfId="1" applyNumberFormat="1" applyFont="1" applyFill="1" applyBorder="1" applyAlignment="1">
      <alignment horizontal="left" indent="1"/>
    </xf>
    <xf numFmtId="164" fontId="10" fillId="0" borderId="0" xfId="4">
      <alignment horizontal="left" indent="1"/>
    </xf>
    <xf numFmtId="0" fontId="11" fillId="0" borderId="18" xfId="5">
      <alignment horizontal="left" vertical="center" indent="1"/>
    </xf>
    <xf numFmtId="0" fontId="12" fillId="15" borderId="0" xfId="6" applyFill="1" applyBorder="1" applyAlignment="1">
      <alignment horizontal="right" vertical="center"/>
    </xf>
    <xf numFmtId="0" fontId="13" fillId="15" borderId="0" xfId="7" applyFill="1" applyBorder="1" applyAlignment="1">
      <alignment vertical="center"/>
    </xf>
    <xf numFmtId="0" fontId="12" fillId="15" borderId="0" xfId="6" applyFill="1" applyBorder="1" applyAlignment="1">
      <alignment horizontal="left" vertical="center"/>
    </xf>
    <xf numFmtId="0" fontId="15" fillId="15" borderId="0" xfId="8" applyFont="1" applyFill="1">
      <alignment vertical="center"/>
    </xf>
    <xf numFmtId="0" fontId="12" fillId="16" borderId="0" xfId="6" applyFill="1" applyBorder="1" applyAlignment="1">
      <alignment horizontal="right" vertical="center"/>
    </xf>
    <xf numFmtId="0" fontId="13" fillId="16" borderId="0" xfId="7" applyFill="1" applyBorder="1" applyAlignment="1">
      <alignment vertical="center"/>
    </xf>
    <xf numFmtId="0" fontId="12" fillId="16" borderId="0" xfId="6" applyFill="1" applyBorder="1" applyAlignment="1">
      <alignment horizontal="left" vertical="center"/>
    </xf>
    <xf numFmtId="0" fontId="14" fillId="16" borderId="0" xfId="8" applyFill="1">
      <alignment vertical="center"/>
    </xf>
    <xf numFmtId="0" fontId="16" fillId="0" borderId="5" xfId="0" applyFont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0" fontId="20" fillId="4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0" fontId="20" fillId="5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9" fillId="6" borderId="5" xfId="0" applyFont="1" applyFill="1" applyBorder="1" applyAlignment="1">
      <alignment vertical="center" wrapText="1"/>
    </xf>
    <xf numFmtId="0" fontId="21" fillId="4" borderId="5" xfId="0" applyFont="1" applyFill="1" applyBorder="1" applyAlignment="1">
      <alignment vertical="center" wrapText="1"/>
    </xf>
    <xf numFmtId="0" fontId="21" fillId="6" borderId="5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vertical="center" wrapText="1"/>
    </xf>
    <xf numFmtId="0" fontId="22" fillId="3" borderId="5" xfId="0" applyFont="1" applyFill="1" applyBorder="1" applyAlignment="1">
      <alignment vertical="center" wrapText="1"/>
    </xf>
    <xf numFmtId="0" fontId="22" fillId="6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0" fillId="18" borderId="5" xfId="0" applyFont="1" applyFill="1" applyBorder="1"/>
    <xf numFmtId="0" fontId="25" fillId="0" borderId="5" xfId="0" applyFont="1" applyBorder="1" applyAlignment="1">
      <alignment wrapText="1"/>
    </xf>
    <xf numFmtId="0" fontId="21" fillId="6" borderId="9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vertical="center" wrapText="1"/>
    </xf>
    <xf numFmtId="0" fontId="26" fillId="19" borderId="5" xfId="0" applyFont="1" applyFill="1" applyBorder="1" applyAlignment="1">
      <alignment vertical="center" wrapText="1"/>
    </xf>
    <xf numFmtId="0" fontId="21" fillId="4" borderId="9" xfId="0" applyFont="1" applyFill="1" applyBorder="1" applyAlignment="1">
      <alignment vertical="center" wrapText="1"/>
    </xf>
    <xf numFmtId="0" fontId="27" fillId="9" borderId="5" xfId="1" applyFont="1" applyFill="1" applyBorder="1" applyAlignment="1">
      <alignment vertical="top" wrapText="1"/>
    </xf>
    <xf numFmtId="0" fontId="21" fillId="0" borderId="5" xfId="0" applyFont="1" applyBorder="1" applyAlignment="1">
      <alignment vertical="center" wrapText="1"/>
    </xf>
    <xf numFmtId="0" fontId="7" fillId="4" borderId="5" xfId="1" applyFill="1" applyBorder="1" applyAlignment="1">
      <alignment vertical="top" wrapText="1"/>
    </xf>
    <xf numFmtId="0" fontId="7" fillId="0" borderId="5" xfId="1" applyBorder="1">
      <alignment vertical="top"/>
    </xf>
    <xf numFmtId="164" fontId="10" fillId="12" borderId="0" xfId="4" applyFill="1" applyAlignment="1">
      <alignment horizontal="left" wrapText="1" indent="1"/>
    </xf>
    <xf numFmtId="0" fontId="7" fillId="0" borderId="0" xfId="1" applyAlignment="1">
      <alignment vertical="top" wrapText="1"/>
    </xf>
    <xf numFmtId="0" fontId="7" fillId="6" borderId="0" xfId="1" applyFill="1" applyAlignment="1">
      <alignment vertical="top" wrapText="1"/>
    </xf>
    <xf numFmtId="0" fontId="28" fillId="0" borderId="5" xfId="0" applyFont="1" applyBorder="1"/>
    <xf numFmtId="0" fontId="19" fillId="4" borderId="5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164" fontId="8" fillId="11" borderId="0" xfId="3" applyFill="1" applyAlignment="1">
      <alignment horizontal="left" vertical="top" wrapText="1" indent="1"/>
    </xf>
    <xf numFmtId="164" fontId="10" fillId="0" borderId="0" xfId="4" applyAlignment="1">
      <alignment horizontal="left" wrapText="1" indent="1"/>
    </xf>
    <xf numFmtId="0" fontId="1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vertical="center" wrapText="1"/>
    </xf>
    <xf numFmtId="0" fontId="19" fillId="6" borderId="5" xfId="0" applyFont="1" applyFill="1" applyBorder="1" applyAlignment="1">
      <alignment vertical="center" wrapText="1"/>
    </xf>
    <xf numFmtId="0" fontId="24" fillId="17" borderId="5" xfId="0" applyFont="1" applyFill="1" applyBorder="1" applyAlignment="1">
      <alignment horizontal="center" vertical="center"/>
    </xf>
    <xf numFmtId="0" fontId="22" fillId="5" borderId="22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vertical="center" wrapText="1"/>
    </xf>
    <xf numFmtId="0" fontId="22" fillId="6" borderId="5" xfId="0" applyFont="1" applyFill="1" applyBorder="1" applyAlignment="1">
      <alignment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22" fillId="3" borderId="5" xfId="0" applyFont="1" applyFill="1" applyBorder="1" applyAlignment="1">
      <alignment vertical="center" wrapText="1"/>
    </xf>
    <xf numFmtId="0" fontId="26" fillId="19" borderId="5" xfId="0" applyFont="1" applyFill="1" applyBorder="1" applyAlignment="1">
      <alignment vertical="center" wrapText="1"/>
    </xf>
    <xf numFmtId="0" fontId="19" fillId="2" borderId="24" xfId="0" applyFont="1" applyFill="1" applyBorder="1" applyAlignment="1">
      <alignment vertical="center" wrapText="1"/>
    </xf>
    <xf numFmtId="0" fontId="21" fillId="6" borderId="5" xfId="0" applyFont="1" applyFill="1" applyBorder="1" applyAlignment="1">
      <alignment vertical="center" wrapText="1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7" fillId="11" borderId="16" xfId="1" applyFill="1" applyBorder="1">
      <alignment vertical="top"/>
    </xf>
    <xf numFmtId="0" fontId="7" fillId="11" borderId="15" xfId="1" applyFill="1" applyBorder="1">
      <alignment vertical="top"/>
    </xf>
    <xf numFmtId="0" fontId="7" fillId="11" borderId="13" xfId="1" applyFill="1" applyBorder="1">
      <alignment vertical="top"/>
    </xf>
    <xf numFmtId="0" fontId="7" fillId="11" borderId="12" xfId="1" applyFill="1" applyBorder="1">
      <alignment vertical="top"/>
    </xf>
    <xf numFmtId="0" fontId="21" fillId="3" borderId="9" xfId="0" applyFont="1" applyFill="1" applyBorder="1" applyAlignment="1">
      <alignment vertical="center" wrapText="1"/>
    </xf>
    <xf numFmtId="0" fontId="22" fillId="20" borderId="5" xfId="0" applyFont="1" applyFill="1" applyBorder="1" applyAlignment="1">
      <alignment vertical="center" wrapText="1"/>
    </xf>
    <xf numFmtId="0" fontId="29" fillId="3" borderId="23" xfId="0" applyFont="1" applyFill="1" applyBorder="1" applyAlignment="1">
      <alignment wrapText="1"/>
    </xf>
    <xf numFmtId="0" fontId="22" fillId="3" borderId="5" xfId="0" applyFont="1" applyFill="1" applyBorder="1" applyAlignment="1">
      <alignment vertical="center"/>
    </xf>
    <xf numFmtId="0" fontId="30" fillId="3" borderId="5" xfId="0" applyFont="1" applyFill="1" applyBorder="1" applyAlignment="1">
      <alignment wrapText="1"/>
    </xf>
  </cellXfs>
  <cellStyles count="9">
    <cellStyle name="Banded" xfId="3" xr:uid="{668D3AAD-8C4F-4A3C-9CB7-4FF9BCC7D039}"/>
    <cellStyle name="Day" xfId="4" xr:uid="{0C138426-3FE0-4C1F-991A-3A321968DF9C}"/>
    <cellStyle name="Day-Name" xfId="5" xr:uid="{53957E2C-4DE9-4446-A996-F7282C794B9D}"/>
    <cellStyle name="Heading 1 2" xfId="7" xr:uid="{19FD396A-EB67-4B6D-BC12-3E34A80904A3}"/>
    <cellStyle name="Heading 4 2" xfId="2" xr:uid="{739460F7-AE4A-4B58-813A-56BA91A91CA3}"/>
    <cellStyle name="Month" xfId="8" xr:uid="{83971B4C-1C15-4430-B16C-D7E57141F6B2}"/>
    <cellStyle name="Normal" xfId="0" builtinId="0"/>
    <cellStyle name="Normal 2" xfId="1" xr:uid="{8CE39542-793E-4B9A-91FE-8B4A5DB7DA27}"/>
    <cellStyle name="Title 2" xfId="6" xr:uid="{BEA45E83-7F2A-4A5C-A865-F39C469F156A}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y%20year%20calendar%20(single%20month%20per%20tab)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</sheetNames>
    <sheetDataSet>
      <sheetData sheetId="0">
        <row r="3">
          <cell r="K3">
            <v>2025</v>
          </cell>
        </row>
        <row r="4">
          <cell r="K4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175C-4FCC-445C-9FDA-26E5F596886F}">
  <dimension ref="B3:S46"/>
  <sheetViews>
    <sheetView view="pageBreakPreview" topLeftCell="A2" zoomScale="58" zoomScaleNormal="80" zoomScaleSheetLayoutView="50" workbookViewId="0">
      <selection activeCell="P9" sqref="P9"/>
    </sheetView>
  </sheetViews>
  <sheetFormatPr defaultRowHeight="14.5" x14ac:dyDescent="0.35"/>
  <cols>
    <col min="2" max="2" width="6.26953125" customWidth="1"/>
    <col min="3" max="3" width="17.1796875" customWidth="1"/>
    <col min="4" max="4" width="12.54296875" customWidth="1"/>
    <col min="5" max="5" width="18" customWidth="1"/>
    <col min="6" max="6" width="18.81640625" customWidth="1"/>
    <col min="7" max="7" width="19.1796875" customWidth="1"/>
    <col min="8" max="8" width="22" customWidth="1"/>
    <col min="9" max="10" width="20.54296875" customWidth="1"/>
    <col min="11" max="11" width="20.453125" customWidth="1"/>
    <col min="12" max="12" width="37" customWidth="1"/>
    <col min="13" max="13" width="37.1796875" customWidth="1"/>
    <col min="14" max="14" width="36.453125" customWidth="1"/>
    <col min="15" max="15" width="26.7265625" customWidth="1"/>
    <col min="16" max="16" width="75.453125" customWidth="1"/>
    <col min="17" max="17" width="14.54296875" customWidth="1"/>
    <col min="18" max="18" width="12.26953125" customWidth="1"/>
  </cols>
  <sheetData>
    <row r="3" spans="2:16" ht="15" thickBot="1" x14ac:dyDescent="0.4"/>
    <row r="4" spans="2:16" ht="17.5" x14ac:dyDescent="0.35">
      <c r="B4" s="74" t="s">
        <v>0</v>
      </c>
      <c r="C4" s="74" t="s">
        <v>1</v>
      </c>
      <c r="D4" s="74" t="s">
        <v>2</v>
      </c>
      <c r="E4" s="74" t="s">
        <v>3</v>
      </c>
      <c r="F4" s="74" t="s">
        <v>4</v>
      </c>
      <c r="G4" s="74" t="s">
        <v>5</v>
      </c>
      <c r="H4" s="74" t="s">
        <v>6</v>
      </c>
      <c r="I4" s="51" t="s">
        <v>7</v>
      </c>
      <c r="J4" s="74" t="s">
        <v>8</v>
      </c>
      <c r="K4" s="74" t="s">
        <v>9</v>
      </c>
      <c r="L4" s="74" t="s">
        <v>10</v>
      </c>
      <c r="M4" s="74" t="s">
        <v>11</v>
      </c>
      <c r="N4" s="74" t="s">
        <v>12</v>
      </c>
      <c r="O4" s="85" t="s">
        <v>13</v>
      </c>
      <c r="P4" s="80" t="s">
        <v>14</v>
      </c>
    </row>
    <row r="5" spans="2:16" ht="17.5" x14ac:dyDescent="0.35">
      <c r="B5" s="75"/>
      <c r="C5" s="75"/>
      <c r="D5" s="75"/>
      <c r="E5" s="75"/>
      <c r="F5" s="75"/>
      <c r="G5" s="75"/>
      <c r="H5" s="75"/>
      <c r="I5" s="52" t="s">
        <v>15</v>
      </c>
      <c r="J5" s="91"/>
      <c r="K5" s="75"/>
      <c r="L5" s="75"/>
      <c r="M5" s="75"/>
      <c r="N5" s="75"/>
      <c r="O5" s="86"/>
      <c r="P5" s="80"/>
    </row>
    <row r="6" spans="2:16" ht="84" customHeight="1" x14ac:dyDescent="0.35">
      <c r="B6" s="3">
        <v>1</v>
      </c>
      <c r="C6" s="32" t="s">
        <v>16</v>
      </c>
      <c r="D6" s="33" t="s">
        <v>17</v>
      </c>
      <c r="E6" s="34">
        <v>3</v>
      </c>
      <c r="F6" s="35" t="s">
        <v>17</v>
      </c>
      <c r="G6" s="33" t="s">
        <v>17</v>
      </c>
      <c r="H6" s="33" t="s">
        <v>17</v>
      </c>
      <c r="I6" s="33" t="s">
        <v>17</v>
      </c>
      <c r="J6" s="33" t="s">
        <v>163</v>
      </c>
      <c r="K6" s="33" t="s">
        <v>17</v>
      </c>
      <c r="L6" s="42" t="s">
        <v>18</v>
      </c>
      <c r="M6" s="46"/>
      <c r="N6" s="48" t="s">
        <v>19</v>
      </c>
      <c r="O6" s="59">
        <v>105</v>
      </c>
      <c r="P6" s="61" t="s">
        <v>168</v>
      </c>
    </row>
    <row r="7" spans="2:16" ht="63" customHeight="1" x14ac:dyDescent="0.35">
      <c r="B7" s="3">
        <v>2</v>
      </c>
      <c r="C7" s="32" t="s">
        <v>21</v>
      </c>
      <c r="D7" s="33" t="s">
        <v>17</v>
      </c>
      <c r="E7" s="34">
        <v>3</v>
      </c>
      <c r="F7" s="37" t="s">
        <v>22</v>
      </c>
      <c r="G7" s="33" t="s">
        <v>17</v>
      </c>
      <c r="H7" s="33" t="s">
        <v>17</v>
      </c>
      <c r="I7" s="33" t="s">
        <v>17</v>
      </c>
      <c r="J7" s="33" t="s">
        <v>164</v>
      </c>
      <c r="K7" s="33" t="s">
        <v>17</v>
      </c>
      <c r="L7" s="38" t="s">
        <v>23</v>
      </c>
      <c r="M7" s="48" t="s">
        <v>24</v>
      </c>
      <c r="N7" s="48" t="s">
        <v>25</v>
      </c>
      <c r="O7" s="56" t="s">
        <v>20</v>
      </c>
      <c r="P7" s="54"/>
    </row>
    <row r="8" spans="2:16" ht="94" customHeight="1" x14ac:dyDescent="0.35">
      <c r="B8" s="3">
        <v>3</v>
      </c>
      <c r="C8" s="32" t="s">
        <v>26</v>
      </c>
      <c r="D8" s="33" t="s">
        <v>23</v>
      </c>
      <c r="E8" s="34">
        <v>3</v>
      </c>
      <c r="F8" s="38" t="s">
        <v>23</v>
      </c>
      <c r="G8" s="101" t="s">
        <v>27</v>
      </c>
      <c r="H8" s="33" t="s">
        <v>17</v>
      </c>
      <c r="I8" s="48" t="s">
        <v>28</v>
      </c>
      <c r="J8" s="38" t="s">
        <v>165</v>
      </c>
      <c r="K8" s="33" t="s">
        <v>17</v>
      </c>
      <c r="L8" s="48" t="s">
        <v>29</v>
      </c>
      <c r="M8" s="38" t="s">
        <v>23</v>
      </c>
      <c r="N8" s="38" t="s">
        <v>23</v>
      </c>
      <c r="O8" s="59">
        <v>624</v>
      </c>
      <c r="P8" s="55"/>
    </row>
    <row r="9" spans="2:16" ht="68.5" customHeight="1" x14ac:dyDescent="0.35">
      <c r="B9" s="3">
        <v>4</v>
      </c>
      <c r="C9" s="32" t="s">
        <v>30</v>
      </c>
      <c r="D9" s="33" t="s">
        <v>23</v>
      </c>
      <c r="E9" s="34">
        <v>3</v>
      </c>
      <c r="F9" s="39" t="s">
        <v>154</v>
      </c>
      <c r="G9" s="101" t="s">
        <v>27</v>
      </c>
      <c r="H9" s="33" t="s">
        <v>17</v>
      </c>
      <c r="I9" s="33" t="s">
        <v>17</v>
      </c>
      <c r="J9" s="33" t="s">
        <v>185</v>
      </c>
      <c r="K9" s="33" t="s">
        <v>17</v>
      </c>
      <c r="L9" s="48" t="s">
        <v>29</v>
      </c>
      <c r="M9" s="42" t="s">
        <v>31</v>
      </c>
      <c r="N9" s="56" t="s">
        <v>20</v>
      </c>
      <c r="O9" s="56" t="s">
        <v>20</v>
      </c>
      <c r="P9" s="54"/>
    </row>
    <row r="10" spans="2:16" ht="75" customHeight="1" x14ac:dyDescent="0.45">
      <c r="B10" s="3">
        <v>5</v>
      </c>
      <c r="C10" s="32" t="s">
        <v>32</v>
      </c>
      <c r="D10" s="33" t="s">
        <v>17</v>
      </c>
      <c r="E10" s="34">
        <v>3</v>
      </c>
      <c r="F10" s="38" t="s">
        <v>23</v>
      </c>
      <c r="G10" s="101" t="s">
        <v>27</v>
      </c>
      <c r="H10" s="33" t="s">
        <v>17</v>
      </c>
      <c r="I10" s="33" t="s">
        <v>17</v>
      </c>
      <c r="J10" s="104" t="s">
        <v>186</v>
      </c>
      <c r="K10" s="33" t="s">
        <v>17</v>
      </c>
      <c r="L10" s="38" t="s">
        <v>17</v>
      </c>
      <c r="M10" s="38" t="s">
        <v>17</v>
      </c>
      <c r="N10" s="59" t="s">
        <v>33</v>
      </c>
      <c r="O10" s="100">
        <v>467</v>
      </c>
      <c r="P10" s="8"/>
    </row>
    <row r="11" spans="2:16" ht="50.25" customHeight="1" x14ac:dyDescent="0.5">
      <c r="B11" s="3">
        <v>6</v>
      </c>
      <c r="C11" s="32" t="s">
        <v>34</v>
      </c>
      <c r="D11" s="33" t="s">
        <v>17</v>
      </c>
      <c r="E11" s="34">
        <v>3</v>
      </c>
      <c r="F11" s="38" t="s">
        <v>23</v>
      </c>
      <c r="G11" s="38" t="s">
        <v>17</v>
      </c>
      <c r="H11" s="38" t="s">
        <v>17</v>
      </c>
      <c r="I11" s="38" t="s">
        <v>17</v>
      </c>
      <c r="J11" s="102" t="s">
        <v>169</v>
      </c>
      <c r="K11" s="38" t="s">
        <v>17</v>
      </c>
      <c r="L11" s="38" t="s">
        <v>17</v>
      </c>
      <c r="M11" s="38" t="s">
        <v>17</v>
      </c>
      <c r="N11" s="42" t="s">
        <v>35</v>
      </c>
      <c r="O11" s="56" t="s">
        <v>20</v>
      </c>
      <c r="P11" s="8" t="s">
        <v>36</v>
      </c>
    </row>
    <row r="12" spans="2:16" ht="46.5" customHeight="1" x14ac:dyDescent="0.5">
      <c r="B12" s="3">
        <v>7</v>
      </c>
      <c r="C12" s="32" t="s">
        <v>37</v>
      </c>
      <c r="D12" s="33" t="s">
        <v>17</v>
      </c>
      <c r="E12" s="34">
        <v>3</v>
      </c>
      <c r="F12" s="38" t="s">
        <v>23</v>
      </c>
      <c r="G12" s="38" t="s">
        <v>17</v>
      </c>
      <c r="H12" s="38" t="s">
        <v>17</v>
      </c>
      <c r="I12" s="38" t="s">
        <v>17</v>
      </c>
      <c r="J12" s="102" t="s">
        <v>170</v>
      </c>
      <c r="K12" s="43" t="s">
        <v>20</v>
      </c>
      <c r="L12" s="42" t="s">
        <v>153</v>
      </c>
      <c r="M12" s="56" t="s">
        <v>20</v>
      </c>
      <c r="N12" s="56" t="s">
        <v>20</v>
      </c>
      <c r="O12" s="56" t="s">
        <v>20</v>
      </c>
      <c r="P12" s="67" t="s">
        <v>38</v>
      </c>
    </row>
    <row r="13" spans="2:16" ht="52.5" x14ac:dyDescent="0.35">
      <c r="B13" s="3">
        <v>8</v>
      </c>
      <c r="C13" s="32" t="s">
        <v>39</v>
      </c>
      <c r="D13" s="33" t="s">
        <v>17</v>
      </c>
      <c r="E13" s="34">
        <v>3</v>
      </c>
      <c r="F13" s="37" t="s">
        <v>162</v>
      </c>
      <c r="G13" s="38" t="s">
        <v>17</v>
      </c>
      <c r="H13" s="38" t="s">
        <v>17</v>
      </c>
      <c r="I13" s="38" t="s">
        <v>17</v>
      </c>
      <c r="J13" s="38" t="s">
        <v>171</v>
      </c>
      <c r="K13" s="43" t="s">
        <v>20</v>
      </c>
      <c r="L13" s="38" t="s">
        <v>17</v>
      </c>
      <c r="M13" s="38" t="s">
        <v>17</v>
      </c>
      <c r="N13" s="56" t="s">
        <v>20</v>
      </c>
      <c r="O13" s="56" t="s">
        <v>20</v>
      </c>
      <c r="P13" s="8" t="s">
        <v>40</v>
      </c>
    </row>
    <row r="14" spans="2:16" ht="50.25" customHeight="1" x14ac:dyDescent="0.35">
      <c r="B14" s="3">
        <v>9</v>
      </c>
      <c r="C14" s="32" t="s">
        <v>41</v>
      </c>
      <c r="D14" s="33" t="s">
        <v>17</v>
      </c>
      <c r="E14" s="34">
        <v>3</v>
      </c>
      <c r="F14" s="38" t="s">
        <v>23</v>
      </c>
      <c r="G14" s="38" t="s">
        <v>23</v>
      </c>
      <c r="H14" s="38" t="s">
        <v>23</v>
      </c>
      <c r="I14" s="38" t="s">
        <v>23</v>
      </c>
      <c r="J14" s="38" t="s">
        <v>172</v>
      </c>
      <c r="K14" s="43" t="s">
        <v>20</v>
      </c>
      <c r="L14" s="38" t="s">
        <v>17</v>
      </c>
      <c r="M14" s="46"/>
      <c r="N14" s="56" t="s">
        <v>20</v>
      </c>
      <c r="O14" s="56" t="s">
        <v>20</v>
      </c>
      <c r="P14" s="8"/>
    </row>
    <row r="15" spans="2:16" ht="49.5" customHeight="1" x14ac:dyDescent="0.35">
      <c r="B15" s="3">
        <v>10</v>
      </c>
      <c r="C15" s="32" t="s">
        <v>42</v>
      </c>
      <c r="D15" s="33" t="s">
        <v>17</v>
      </c>
      <c r="E15" s="34">
        <v>3</v>
      </c>
      <c r="F15" s="38" t="s">
        <v>23</v>
      </c>
      <c r="G15" s="38" t="s">
        <v>23</v>
      </c>
      <c r="H15" s="38" t="s">
        <v>23</v>
      </c>
      <c r="I15" s="38" t="s">
        <v>23</v>
      </c>
      <c r="J15" s="38" t="s">
        <v>173</v>
      </c>
      <c r="K15" s="38" t="s">
        <v>17</v>
      </c>
      <c r="L15" s="59" t="s">
        <v>166</v>
      </c>
      <c r="M15" s="59" t="s">
        <v>43</v>
      </c>
      <c r="N15" s="56" t="s">
        <v>20</v>
      </c>
      <c r="O15" s="56" t="s">
        <v>20</v>
      </c>
      <c r="P15" s="8" t="s">
        <v>184</v>
      </c>
    </row>
    <row r="16" spans="2:16" ht="72" x14ac:dyDescent="0.35">
      <c r="B16" s="3">
        <v>11</v>
      </c>
      <c r="C16" s="32" t="s">
        <v>44</v>
      </c>
      <c r="D16" s="33" t="s">
        <v>17</v>
      </c>
      <c r="E16" s="34">
        <v>3</v>
      </c>
      <c r="F16" s="42" t="s">
        <v>45</v>
      </c>
      <c r="G16" s="38" t="s">
        <v>23</v>
      </c>
      <c r="H16" s="38" t="s">
        <v>23</v>
      </c>
      <c r="I16" s="46" t="s">
        <v>46</v>
      </c>
      <c r="J16" s="46" t="s">
        <v>174</v>
      </c>
      <c r="K16" s="43" t="s">
        <v>20</v>
      </c>
      <c r="L16" s="42" t="s">
        <v>167</v>
      </c>
      <c r="M16" s="59" t="s">
        <v>47</v>
      </c>
      <c r="N16" s="47"/>
      <c r="O16" s="56" t="s">
        <v>20</v>
      </c>
      <c r="P16" s="8"/>
    </row>
    <row r="17" spans="2:16" ht="34" customHeight="1" x14ac:dyDescent="0.35">
      <c r="B17" s="72">
        <v>12</v>
      </c>
      <c r="C17" s="73" t="s">
        <v>48</v>
      </c>
      <c r="D17" s="78" t="s">
        <v>17</v>
      </c>
      <c r="E17" s="77">
        <v>3</v>
      </c>
      <c r="F17" s="76" t="s">
        <v>23</v>
      </c>
      <c r="G17" s="76" t="s">
        <v>23</v>
      </c>
      <c r="H17" s="89" t="s">
        <v>23</v>
      </c>
      <c r="I17" s="89" t="s">
        <v>46</v>
      </c>
      <c r="J17" s="103" t="s">
        <v>175</v>
      </c>
      <c r="K17" s="92" t="s">
        <v>49</v>
      </c>
      <c r="L17" s="83" t="s">
        <v>50</v>
      </c>
      <c r="M17" s="81" t="s">
        <v>51</v>
      </c>
      <c r="N17" s="84"/>
      <c r="O17" s="56" t="s">
        <v>20</v>
      </c>
      <c r="P17" s="8"/>
    </row>
    <row r="18" spans="2:16" ht="48" customHeight="1" x14ac:dyDescent="0.35">
      <c r="B18" s="72"/>
      <c r="C18" s="73"/>
      <c r="D18" s="78"/>
      <c r="E18" s="77"/>
      <c r="F18" s="76"/>
      <c r="G18" s="76"/>
      <c r="H18" s="89"/>
      <c r="I18" s="89"/>
      <c r="J18" s="103"/>
      <c r="K18" s="92"/>
      <c r="L18" s="83"/>
      <c r="M18" s="82"/>
      <c r="N18" s="84"/>
      <c r="O18" s="56" t="s">
        <v>20</v>
      </c>
      <c r="P18" s="8"/>
    </row>
    <row r="19" spans="2:16" ht="65.150000000000006" customHeight="1" x14ac:dyDescent="0.35">
      <c r="B19" s="3">
        <v>13</v>
      </c>
      <c r="C19" s="32" t="s">
        <v>52</v>
      </c>
      <c r="D19" s="33" t="s">
        <v>17</v>
      </c>
      <c r="E19" s="34">
        <v>3</v>
      </c>
      <c r="F19" s="68" t="s">
        <v>159</v>
      </c>
      <c r="G19" s="38" t="s">
        <v>23</v>
      </c>
      <c r="H19" s="38" t="s">
        <v>23</v>
      </c>
      <c r="I19" s="46" t="s">
        <v>46</v>
      </c>
      <c r="J19" s="46" t="s">
        <v>176</v>
      </c>
      <c r="K19" s="38" t="s">
        <v>17</v>
      </c>
      <c r="L19" s="38" t="s">
        <v>17</v>
      </c>
      <c r="M19" s="38" t="s">
        <v>17</v>
      </c>
      <c r="N19" s="56" t="s">
        <v>20</v>
      </c>
      <c r="O19" s="56" t="s">
        <v>20</v>
      </c>
      <c r="P19" s="8" t="s">
        <v>188</v>
      </c>
    </row>
    <row r="20" spans="2:16" ht="71.25" customHeight="1" x14ac:dyDescent="0.35">
      <c r="B20" s="3">
        <v>14</v>
      </c>
      <c r="C20" s="32" t="s">
        <v>53</v>
      </c>
      <c r="D20" s="33" t="s">
        <v>17</v>
      </c>
      <c r="E20" s="34">
        <v>3</v>
      </c>
      <c r="F20" s="42" t="s">
        <v>154</v>
      </c>
      <c r="G20" s="38" t="s">
        <v>23</v>
      </c>
      <c r="H20" s="38" t="s">
        <v>23</v>
      </c>
      <c r="I20" s="38" t="s">
        <v>23</v>
      </c>
      <c r="J20" s="38" t="s">
        <v>177</v>
      </c>
      <c r="K20" s="38" t="s">
        <v>17</v>
      </c>
      <c r="L20" s="42" t="s">
        <v>54</v>
      </c>
      <c r="M20" s="56" t="s">
        <v>20</v>
      </c>
      <c r="N20" s="47"/>
      <c r="O20" s="56" t="s">
        <v>20</v>
      </c>
      <c r="P20" s="8" t="s">
        <v>55</v>
      </c>
    </row>
    <row r="21" spans="2:16" ht="66.75" customHeight="1" x14ac:dyDescent="0.35">
      <c r="B21" s="3">
        <v>15</v>
      </c>
      <c r="C21" s="32" t="s">
        <v>56</v>
      </c>
      <c r="D21" s="33" t="s">
        <v>17</v>
      </c>
      <c r="E21" s="34">
        <v>3</v>
      </c>
      <c r="F21" s="38" t="s">
        <v>17</v>
      </c>
      <c r="G21" s="38" t="s">
        <v>23</v>
      </c>
      <c r="H21" s="47" t="s">
        <v>49</v>
      </c>
      <c r="I21" s="47" t="s">
        <v>49</v>
      </c>
      <c r="J21" s="46" t="s">
        <v>178</v>
      </c>
      <c r="K21" s="43" t="s">
        <v>49</v>
      </c>
      <c r="L21" s="56" t="s">
        <v>20</v>
      </c>
      <c r="M21" s="56" t="s">
        <v>20</v>
      </c>
      <c r="N21" s="47"/>
      <c r="O21" s="56" t="s">
        <v>20</v>
      </c>
      <c r="P21" s="8"/>
    </row>
    <row r="22" spans="2:16" ht="77.25" customHeight="1" x14ac:dyDescent="0.35">
      <c r="B22" s="3">
        <v>16</v>
      </c>
      <c r="C22" s="32" t="s">
        <v>57</v>
      </c>
      <c r="D22" s="33" t="s">
        <v>17</v>
      </c>
      <c r="E22" s="34">
        <v>3</v>
      </c>
      <c r="F22" s="38" t="s">
        <v>17</v>
      </c>
      <c r="G22" s="38" t="s">
        <v>23</v>
      </c>
      <c r="H22" s="46" t="s">
        <v>17</v>
      </c>
      <c r="I22" s="46" t="s">
        <v>17</v>
      </c>
      <c r="J22" s="46" t="s">
        <v>179</v>
      </c>
      <c r="K22" s="43" t="s">
        <v>49</v>
      </c>
      <c r="L22" s="57" t="s">
        <v>58</v>
      </c>
      <c r="M22" s="56" t="s">
        <v>20</v>
      </c>
      <c r="N22" s="47"/>
      <c r="O22" s="56" t="s">
        <v>20</v>
      </c>
      <c r="P22" s="8"/>
    </row>
    <row r="23" spans="2:16" ht="54" x14ac:dyDescent="0.35">
      <c r="B23" s="3">
        <v>17</v>
      </c>
      <c r="C23" s="32" t="s">
        <v>59</v>
      </c>
      <c r="D23" s="33" t="s">
        <v>17</v>
      </c>
      <c r="E23" s="34">
        <v>3</v>
      </c>
      <c r="F23" s="40" t="s">
        <v>60</v>
      </c>
      <c r="G23" s="38" t="s">
        <v>23</v>
      </c>
      <c r="H23" s="46" t="s">
        <v>17</v>
      </c>
      <c r="I23" s="47" t="s">
        <v>49</v>
      </c>
      <c r="J23" s="46" t="s">
        <v>180</v>
      </c>
      <c r="K23" s="43" t="s">
        <v>49</v>
      </c>
      <c r="L23" s="47" t="s">
        <v>49</v>
      </c>
      <c r="M23" s="57" t="s">
        <v>61</v>
      </c>
      <c r="N23" s="47"/>
      <c r="O23" s="56" t="s">
        <v>20</v>
      </c>
      <c r="P23" s="8"/>
    </row>
    <row r="24" spans="2:16" ht="49.5" customHeight="1" x14ac:dyDescent="0.35">
      <c r="B24" s="3">
        <v>18</v>
      </c>
      <c r="C24" s="32" t="s">
        <v>62</v>
      </c>
      <c r="D24" s="33" t="s">
        <v>17</v>
      </c>
      <c r="E24" s="44"/>
      <c r="F24" s="36" t="s">
        <v>17</v>
      </c>
      <c r="G24" s="38" t="s">
        <v>23</v>
      </c>
      <c r="H24" s="46" t="s">
        <v>17</v>
      </c>
      <c r="I24" s="47" t="s">
        <v>49</v>
      </c>
      <c r="J24" s="46" t="s">
        <v>181</v>
      </c>
      <c r="K24" s="43" t="s">
        <v>49</v>
      </c>
      <c r="L24" s="49" t="s">
        <v>49</v>
      </c>
      <c r="M24" s="49"/>
      <c r="N24" s="47"/>
      <c r="O24" s="56" t="s">
        <v>20</v>
      </c>
      <c r="P24" s="8"/>
    </row>
    <row r="25" spans="2:16" ht="54" x14ac:dyDescent="0.35">
      <c r="B25" s="3">
        <v>19</v>
      </c>
      <c r="C25" s="32" t="s">
        <v>63</v>
      </c>
      <c r="D25" s="33" t="s">
        <v>17</v>
      </c>
      <c r="E25" s="34">
        <v>3</v>
      </c>
      <c r="F25" s="40" t="s">
        <v>64</v>
      </c>
      <c r="G25" s="38" t="s">
        <v>23</v>
      </c>
      <c r="H25" s="46" t="s">
        <v>17</v>
      </c>
      <c r="I25" s="47" t="s">
        <v>49</v>
      </c>
      <c r="J25" s="46" t="s">
        <v>182</v>
      </c>
      <c r="K25" s="43"/>
      <c r="L25" s="49"/>
      <c r="M25" s="49"/>
      <c r="N25" s="47"/>
      <c r="O25" s="56" t="s">
        <v>20</v>
      </c>
      <c r="P25" s="8"/>
    </row>
    <row r="26" spans="2:16" ht="18" x14ac:dyDescent="0.35">
      <c r="B26" s="72"/>
      <c r="C26" s="73" t="s">
        <v>65</v>
      </c>
      <c r="D26" s="78" t="s">
        <v>17</v>
      </c>
      <c r="E26" s="87">
        <v>0</v>
      </c>
      <c r="F26" s="79" t="s">
        <v>20</v>
      </c>
      <c r="G26" s="90" t="s">
        <v>27</v>
      </c>
      <c r="H26" s="79" t="s">
        <v>20</v>
      </c>
      <c r="I26" s="88" t="s">
        <v>49</v>
      </c>
      <c r="J26" s="49"/>
      <c r="K26" s="92" t="s">
        <v>49</v>
      </c>
      <c r="L26" s="88" t="s">
        <v>49</v>
      </c>
      <c r="M26" s="88"/>
      <c r="N26" s="84"/>
      <c r="O26" s="56" t="s">
        <v>20</v>
      </c>
      <c r="P26" s="8"/>
    </row>
    <row r="27" spans="2:16" ht="18" x14ac:dyDescent="0.35">
      <c r="B27" s="72"/>
      <c r="C27" s="73"/>
      <c r="D27" s="78"/>
      <c r="E27" s="87"/>
      <c r="F27" s="79"/>
      <c r="G27" s="90"/>
      <c r="H27" s="79"/>
      <c r="I27" s="88"/>
      <c r="J27" s="49"/>
      <c r="K27" s="92"/>
      <c r="L27" s="88"/>
      <c r="M27" s="88"/>
      <c r="N27" s="84"/>
      <c r="O27" s="56" t="s">
        <v>20</v>
      </c>
      <c r="P27" s="8"/>
    </row>
    <row r="28" spans="2:16" ht="24.65" customHeight="1" x14ac:dyDescent="0.35">
      <c r="B28" s="3">
        <v>20</v>
      </c>
      <c r="C28" s="32" t="s">
        <v>66</v>
      </c>
      <c r="D28" s="33" t="s">
        <v>17</v>
      </c>
      <c r="E28" s="44">
        <v>0</v>
      </c>
      <c r="F28" s="41" t="s">
        <v>20</v>
      </c>
      <c r="G28" s="58" t="s">
        <v>27</v>
      </c>
      <c r="H28" s="79" t="s">
        <v>20</v>
      </c>
      <c r="I28" s="49" t="s">
        <v>49</v>
      </c>
      <c r="J28" s="49"/>
      <c r="K28" s="43" t="s">
        <v>49</v>
      </c>
      <c r="L28" s="49" t="s">
        <v>49</v>
      </c>
      <c r="M28" s="49"/>
      <c r="N28" s="47"/>
      <c r="O28" s="56" t="s">
        <v>20</v>
      </c>
      <c r="P28" s="8"/>
    </row>
    <row r="29" spans="2:16" ht="18" x14ac:dyDescent="0.35">
      <c r="B29" s="3">
        <v>21</v>
      </c>
      <c r="C29" s="32" t="s">
        <v>67</v>
      </c>
      <c r="D29" s="33" t="s">
        <v>17</v>
      </c>
      <c r="E29" s="44">
        <v>0</v>
      </c>
      <c r="F29" s="41" t="s">
        <v>20</v>
      </c>
      <c r="G29" s="58" t="s">
        <v>27</v>
      </c>
      <c r="H29" s="79"/>
      <c r="I29" s="49" t="s">
        <v>49</v>
      </c>
      <c r="J29" s="49"/>
      <c r="K29" s="43" t="s">
        <v>49</v>
      </c>
      <c r="L29" s="49" t="s">
        <v>49</v>
      </c>
      <c r="M29" s="49"/>
      <c r="N29" s="47"/>
      <c r="O29" s="56" t="s">
        <v>20</v>
      </c>
      <c r="P29" s="8"/>
    </row>
    <row r="30" spans="2:16" ht="18" x14ac:dyDescent="0.35">
      <c r="B30" s="3">
        <v>22</v>
      </c>
      <c r="C30" s="32" t="s">
        <v>68</v>
      </c>
      <c r="D30" s="33" t="s">
        <v>17</v>
      </c>
      <c r="E30" s="44">
        <v>0</v>
      </c>
      <c r="F30" s="41" t="s">
        <v>20</v>
      </c>
      <c r="G30" s="49"/>
      <c r="H30" s="79" t="s">
        <v>20</v>
      </c>
      <c r="I30" s="49" t="s">
        <v>49</v>
      </c>
      <c r="J30" s="49"/>
      <c r="K30" s="43" t="s">
        <v>49</v>
      </c>
      <c r="L30" s="49" t="s">
        <v>49</v>
      </c>
      <c r="M30" s="49"/>
      <c r="N30" s="47"/>
      <c r="O30" s="56" t="s">
        <v>20</v>
      </c>
      <c r="P30" s="8"/>
    </row>
    <row r="31" spans="2:16" ht="18" x14ac:dyDescent="0.35">
      <c r="B31" s="3">
        <v>23</v>
      </c>
      <c r="C31" s="32" t="s">
        <v>69</v>
      </c>
      <c r="D31" s="33" t="s">
        <v>17</v>
      </c>
      <c r="E31" s="44">
        <v>0</v>
      </c>
      <c r="F31" s="41" t="s">
        <v>20</v>
      </c>
      <c r="G31" s="49"/>
      <c r="H31" s="79"/>
      <c r="I31" s="49" t="s">
        <v>49</v>
      </c>
      <c r="J31" s="49"/>
      <c r="K31" s="43" t="s">
        <v>49</v>
      </c>
      <c r="L31" s="49" t="s">
        <v>49</v>
      </c>
      <c r="M31" s="49"/>
      <c r="N31" s="47"/>
      <c r="O31" s="56" t="s">
        <v>20</v>
      </c>
      <c r="P31" s="8"/>
    </row>
    <row r="32" spans="2:16" ht="18" x14ac:dyDescent="0.35">
      <c r="B32" s="3">
        <v>24</v>
      </c>
      <c r="C32" s="32" t="s">
        <v>70</v>
      </c>
      <c r="D32" s="33" t="s">
        <v>17</v>
      </c>
      <c r="E32" s="44">
        <v>0</v>
      </c>
      <c r="F32" s="68" t="s">
        <v>71</v>
      </c>
      <c r="G32" s="49"/>
      <c r="H32" s="49"/>
      <c r="I32" s="49" t="s">
        <v>49</v>
      </c>
      <c r="J32" s="49"/>
      <c r="K32" s="43" t="s">
        <v>49</v>
      </c>
      <c r="L32" s="49" t="s">
        <v>49</v>
      </c>
      <c r="M32" s="49"/>
      <c r="N32" s="47"/>
      <c r="O32" s="56" t="s">
        <v>20</v>
      </c>
      <c r="P32" s="8"/>
    </row>
    <row r="33" spans="2:19" ht="18" x14ac:dyDescent="0.35">
      <c r="B33" s="72">
        <v>26</v>
      </c>
      <c r="C33" s="73" t="s">
        <v>72</v>
      </c>
      <c r="D33" s="78" t="s">
        <v>17</v>
      </c>
      <c r="E33" s="87">
        <v>0</v>
      </c>
      <c r="F33" s="41" t="s">
        <v>20</v>
      </c>
      <c r="G33" s="88"/>
      <c r="H33" s="88"/>
      <c r="I33" s="88" t="s">
        <v>49</v>
      </c>
      <c r="J33" s="49"/>
      <c r="K33" s="92" t="s">
        <v>49</v>
      </c>
      <c r="L33" s="88" t="s">
        <v>49</v>
      </c>
      <c r="M33" s="88"/>
      <c r="N33" s="84"/>
      <c r="O33" s="56" t="s">
        <v>20</v>
      </c>
      <c r="P33" s="8"/>
    </row>
    <row r="34" spans="2:19" ht="18" x14ac:dyDescent="0.35">
      <c r="B34" s="72"/>
      <c r="C34" s="73"/>
      <c r="D34" s="78"/>
      <c r="E34" s="87"/>
      <c r="F34" s="41" t="s">
        <v>20</v>
      </c>
      <c r="G34" s="88"/>
      <c r="H34" s="88"/>
      <c r="I34" s="88"/>
      <c r="J34" s="49"/>
      <c r="K34" s="92"/>
      <c r="L34" s="88"/>
      <c r="M34" s="88"/>
      <c r="N34" s="84"/>
      <c r="O34" s="56" t="s">
        <v>20</v>
      </c>
      <c r="P34" s="8"/>
    </row>
    <row r="35" spans="2:19" ht="18" x14ac:dyDescent="0.35">
      <c r="B35" s="3">
        <v>27</v>
      </c>
      <c r="C35" s="32" t="s">
        <v>73</v>
      </c>
      <c r="D35" s="33" t="s">
        <v>17</v>
      </c>
      <c r="E35" s="44">
        <v>0</v>
      </c>
      <c r="F35" s="68" t="s">
        <v>160</v>
      </c>
      <c r="G35" s="49"/>
      <c r="H35" s="49"/>
      <c r="I35" s="49" t="s">
        <v>49</v>
      </c>
      <c r="J35" s="49"/>
      <c r="K35" s="43" t="s">
        <v>49</v>
      </c>
      <c r="L35" s="49" t="s">
        <v>49</v>
      </c>
      <c r="M35" s="49"/>
      <c r="N35" s="47"/>
      <c r="O35" s="56" t="s">
        <v>20</v>
      </c>
      <c r="P35" s="8"/>
    </row>
    <row r="36" spans="2:19" ht="18" x14ac:dyDescent="0.35">
      <c r="B36" s="3">
        <v>28</v>
      </c>
      <c r="C36" s="32" t="s">
        <v>74</v>
      </c>
      <c r="D36" s="33" t="s">
        <v>17</v>
      </c>
      <c r="E36" s="44">
        <v>0</v>
      </c>
      <c r="F36" s="41" t="s">
        <v>20</v>
      </c>
      <c r="G36" s="49"/>
      <c r="H36" s="49"/>
      <c r="I36" s="49" t="s">
        <v>49</v>
      </c>
      <c r="J36" s="49"/>
      <c r="K36" s="43" t="s">
        <v>49</v>
      </c>
      <c r="L36" s="49" t="s">
        <v>49</v>
      </c>
      <c r="M36" s="49"/>
      <c r="N36" s="47"/>
      <c r="O36" s="56" t="s">
        <v>20</v>
      </c>
      <c r="P36" s="8"/>
    </row>
    <row r="37" spans="2:19" ht="30.75" customHeight="1" x14ac:dyDescent="0.35">
      <c r="B37" s="3">
        <v>29</v>
      </c>
      <c r="C37" s="32" t="s">
        <v>75</v>
      </c>
      <c r="D37" s="33" t="s">
        <v>17</v>
      </c>
      <c r="E37" s="44">
        <v>0</v>
      </c>
      <c r="F37" s="68" t="s">
        <v>161</v>
      </c>
      <c r="G37" s="49" t="s">
        <v>27</v>
      </c>
      <c r="H37" s="49"/>
      <c r="I37" s="49" t="s">
        <v>49</v>
      </c>
      <c r="J37" s="46" t="s">
        <v>183</v>
      </c>
      <c r="K37" s="43" t="s">
        <v>49</v>
      </c>
      <c r="L37" s="49" t="s">
        <v>49</v>
      </c>
      <c r="M37" s="49"/>
      <c r="N37" s="47"/>
      <c r="O37" s="56" t="s">
        <v>20</v>
      </c>
      <c r="P37" s="8"/>
    </row>
    <row r="38" spans="2:19" ht="18" x14ac:dyDescent="0.35">
      <c r="B38" s="3">
        <v>30</v>
      </c>
      <c r="C38" s="32" t="s">
        <v>76</v>
      </c>
      <c r="D38" s="33" t="s">
        <v>17</v>
      </c>
      <c r="E38" s="44">
        <v>0</v>
      </c>
      <c r="F38" s="41" t="s">
        <v>20</v>
      </c>
      <c r="G38" s="49"/>
      <c r="H38" s="49"/>
      <c r="I38" s="49"/>
      <c r="J38" s="49"/>
      <c r="K38" s="43"/>
      <c r="L38" s="49"/>
      <c r="M38" s="49"/>
      <c r="N38" s="47"/>
      <c r="O38" s="56" t="s">
        <v>20</v>
      </c>
      <c r="P38" s="8"/>
    </row>
    <row r="39" spans="2:19" ht="18" x14ac:dyDescent="0.35">
      <c r="B39" s="3">
        <v>31</v>
      </c>
      <c r="C39" s="32" t="s">
        <v>77</v>
      </c>
      <c r="D39" s="45" t="s">
        <v>28</v>
      </c>
      <c r="E39" s="44">
        <v>0</v>
      </c>
      <c r="F39" s="41" t="s">
        <v>20</v>
      </c>
      <c r="G39" s="49"/>
      <c r="H39" s="49"/>
      <c r="I39" s="49"/>
      <c r="J39" s="49"/>
      <c r="K39" s="43"/>
      <c r="L39" s="49"/>
      <c r="M39" s="49"/>
      <c r="N39" s="47"/>
      <c r="O39" s="56" t="s">
        <v>20</v>
      </c>
      <c r="P39" s="8"/>
    </row>
    <row r="40" spans="2:19" ht="18" x14ac:dyDescent="0.35">
      <c r="B40" s="3">
        <v>32</v>
      </c>
      <c r="C40" s="32" t="s">
        <v>78</v>
      </c>
      <c r="D40" s="45" t="s">
        <v>28</v>
      </c>
      <c r="E40" s="44">
        <v>0</v>
      </c>
      <c r="F40" s="41" t="s">
        <v>20</v>
      </c>
      <c r="G40" s="49"/>
      <c r="H40" s="49"/>
      <c r="I40" s="49" t="s">
        <v>49</v>
      </c>
      <c r="J40" s="49"/>
      <c r="K40" s="43" t="s">
        <v>49</v>
      </c>
      <c r="L40" s="49" t="s">
        <v>49</v>
      </c>
      <c r="M40" s="49"/>
      <c r="N40" s="47"/>
      <c r="O40" s="56" t="s">
        <v>20</v>
      </c>
      <c r="P40" s="8"/>
    </row>
    <row r="41" spans="2:19" ht="18" x14ac:dyDescent="0.35">
      <c r="B41" s="3">
        <v>33</v>
      </c>
      <c r="C41" s="32" t="s">
        <v>79</v>
      </c>
      <c r="D41" s="45" t="s">
        <v>28</v>
      </c>
      <c r="E41" s="44">
        <v>0</v>
      </c>
      <c r="F41" s="41" t="s">
        <v>20</v>
      </c>
      <c r="G41" s="49"/>
      <c r="H41" s="49"/>
      <c r="I41" s="49" t="s">
        <v>49</v>
      </c>
      <c r="J41" s="49"/>
      <c r="K41" s="43" t="s">
        <v>49</v>
      </c>
      <c r="L41" s="49" t="s">
        <v>49</v>
      </c>
      <c r="M41" s="49"/>
      <c r="N41" s="47"/>
      <c r="O41" s="56" t="s">
        <v>20</v>
      </c>
      <c r="P41" s="8"/>
    </row>
    <row r="42" spans="2:19" ht="18" x14ac:dyDescent="0.35">
      <c r="B42" s="3">
        <v>34</v>
      </c>
      <c r="C42" s="32" t="s">
        <v>80</v>
      </c>
      <c r="D42" s="45" t="s">
        <v>28</v>
      </c>
      <c r="E42" s="44">
        <v>0</v>
      </c>
      <c r="F42" s="41" t="s">
        <v>20</v>
      </c>
      <c r="G42" s="49"/>
      <c r="H42" s="49"/>
      <c r="I42" s="49" t="s">
        <v>49</v>
      </c>
      <c r="J42" s="49"/>
      <c r="K42" s="43" t="s">
        <v>49</v>
      </c>
      <c r="L42" s="49" t="s">
        <v>49</v>
      </c>
      <c r="M42" s="49"/>
      <c r="N42" s="47"/>
      <c r="O42" s="56" t="s">
        <v>20</v>
      </c>
      <c r="P42" s="8"/>
    </row>
    <row r="43" spans="2:19" ht="18" x14ac:dyDescent="0.35">
      <c r="B43" s="3">
        <v>35</v>
      </c>
      <c r="C43" s="32" t="s">
        <v>187</v>
      </c>
      <c r="D43" s="45" t="s">
        <v>28</v>
      </c>
      <c r="E43" s="44">
        <v>0</v>
      </c>
      <c r="F43" s="41" t="s">
        <v>20</v>
      </c>
      <c r="G43" s="49"/>
      <c r="H43" s="49"/>
      <c r="I43" s="49" t="s">
        <v>49</v>
      </c>
      <c r="J43" s="49"/>
      <c r="K43" s="43" t="s">
        <v>49</v>
      </c>
      <c r="L43" s="49" t="s">
        <v>49</v>
      </c>
      <c r="M43" s="49"/>
      <c r="N43" s="47"/>
      <c r="O43" s="56" t="s">
        <v>20</v>
      </c>
      <c r="P43" s="8"/>
    </row>
    <row r="44" spans="2:19" ht="18" x14ac:dyDescent="0.35">
      <c r="B44" s="3">
        <v>36</v>
      </c>
      <c r="C44" s="32" t="s">
        <v>81</v>
      </c>
      <c r="D44" s="45" t="s">
        <v>28</v>
      </c>
      <c r="E44" s="44">
        <v>0</v>
      </c>
      <c r="F44" s="41" t="s">
        <v>20</v>
      </c>
      <c r="G44" s="49"/>
      <c r="H44" s="49"/>
      <c r="I44" s="49" t="s">
        <v>49</v>
      </c>
      <c r="J44" s="49"/>
      <c r="K44" s="43" t="s">
        <v>49</v>
      </c>
      <c r="L44" s="49" t="s">
        <v>49</v>
      </c>
      <c r="M44" s="49"/>
      <c r="N44" s="47"/>
      <c r="O44" s="56" t="s">
        <v>20</v>
      </c>
      <c r="P44" s="8"/>
    </row>
    <row r="45" spans="2:19" ht="34.5" x14ac:dyDescent="0.35">
      <c r="B45" s="3">
        <v>37</v>
      </c>
      <c r="C45" s="32" t="s">
        <v>82</v>
      </c>
      <c r="D45" s="33" t="s">
        <v>17</v>
      </c>
      <c r="E45" s="34">
        <v>3</v>
      </c>
      <c r="F45" s="69" t="s">
        <v>23</v>
      </c>
      <c r="G45" s="49"/>
      <c r="H45" s="49"/>
      <c r="I45" s="49"/>
      <c r="J45" s="49"/>
      <c r="K45" s="43"/>
      <c r="L45" s="49" t="s">
        <v>49</v>
      </c>
      <c r="M45" s="49"/>
      <c r="N45" s="47"/>
      <c r="O45" s="56" t="s">
        <v>20</v>
      </c>
      <c r="P45" s="50" t="s">
        <v>83</v>
      </c>
      <c r="Q45" s="53"/>
      <c r="R45" s="2" t="s">
        <v>49</v>
      </c>
      <c r="S45" s="2" t="s">
        <v>49</v>
      </c>
    </row>
    <row r="46" spans="2:19" ht="42" customHeight="1" x14ac:dyDescent="0.35">
      <c r="B46" s="1"/>
      <c r="E46" s="8">
        <f>SUM(E6:E45)</f>
        <v>57</v>
      </c>
      <c r="F46" s="41" t="s">
        <v>20</v>
      </c>
      <c r="P46" s="8"/>
    </row>
  </sheetData>
  <mergeCells count="51">
    <mergeCell ref="H33:H34"/>
    <mergeCell ref="M26:M27"/>
    <mergeCell ref="N26:N27"/>
    <mergeCell ref="I26:I27"/>
    <mergeCell ref="K26:K27"/>
    <mergeCell ref="L33:L34"/>
    <mergeCell ref="K33:K34"/>
    <mergeCell ref="H28:H29"/>
    <mergeCell ref="H30:H31"/>
    <mergeCell ref="I33:I34"/>
    <mergeCell ref="L26:L27"/>
    <mergeCell ref="M33:M34"/>
    <mergeCell ref="N33:N34"/>
    <mergeCell ref="E26:E27"/>
    <mergeCell ref="H17:H18"/>
    <mergeCell ref="H4:H5"/>
    <mergeCell ref="H26:H27"/>
    <mergeCell ref="K4:K5"/>
    <mergeCell ref="G26:G27"/>
    <mergeCell ref="J4:J5"/>
    <mergeCell ref="I17:I18"/>
    <mergeCell ref="K17:K18"/>
    <mergeCell ref="B33:B34"/>
    <mergeCell ref="C33:C34"/>
    <mergeCell ref="D33:D34"/>
    <mergeCell ref="E33:E34"/>
    <mergeCell ref="G33:G34"/>
    <mergeCell ref="P4:P5"/>
    <mergeCell ref="M17:M18"/>
    <mergeCell ref="L17:L18"/>
    <mergeCell ref="N17:N18"/>
    <mergeCell ref="M4:M5"/>
    <mergeCell ref="N4:N5"/>
    <mergeCell ref="O4:O5"/>
    <mergeCell ref="L4:L5"/>
    <mergeCell ref="B26:B27"/>
    <mergeCell ref="C26:C27"/>
    <mergeCell ref="G4:G5"/>
    <mergeCell ref="G17:G18"/>
    <mergeCell ref="B17:B18"/>
    <mergeCell ref="B4:B5"/>
    <mergeCell ref="C4:C5"/>
    <mergeCell ref="D4:D5"/>
    <mergeCell ref="F4:F5"/>
    <mergeCell ref="E17:E18"/>
    <mergeCell ref="E4:E5"/>
    <mergeCell ref="C17:C18"/>
    <mergeCell ref="D17:D18"/>
    <mergeCell ref="F17:F18"/>
    <mergeCell ref="D26:D27"/>
    <mergeCell ref="F26:F27"/>
  </mergeCells>
  <phoneticPr fontId="4" type="noConversion"/>
  <pageMargins left="0.7" right="0.7" top="0.75" bottom="0.75" header="0.3" footer="0.3"/>
  <pageSetup paperSize="9" scale="29" orientation="portrait" verticalDpi="0" r:id="rId1"/>
  <headerFooter>
    <oddFooter>&amp;R_x000D_&amp;1#&amp;"Calibri"&amp;10&amp;K000000 Official Use Only</oddFooter>
  </headerFooter>
  <rowBreaks count="2" manualBreakCount="2">
    <brk id="13" max="16383" man="1"/>
    <brk id="45" max="16383" man="1"/>
  </rowBreaks>
  <colBreaks count="2" manualBreakCount="2">
    <brk id="8" max="45" man="1"/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087A-7FB3-4043-BB73-469765EC6F1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6EFC-6A30-4B9E-897E-73AFD96AFA16}">
  <dimension ref="B3:J41"/>
  <sheetViews>
    <sheetView topLeftCell="B1" workbookViewId="0">
      <selection activeCell="E13" sqref="E13"/>
    </sheetView>
  </sheetViews>
  <sheetFormatPr defaultColWidth="9" defaultRowHeight="14.5" x14ac:dyDescent="0.35"/>
  <cols>
    <col min="2" max="2" width="28.453125" customWidth="1"/>
    <col min="3" max="3" width="35.81640625" customWidth="1"/>
    <col min="4" max="4" width="43.81640625" customWidth="1"/>
    <col min="5" max="5" width="29.26953125" customWidth="1"/>
    <col min="6" max="6" width="44.26953125" customWidth="1"/>
    <col min="7" max="7" width="31.54296875" customWidth="1"/>
    <col min="9" max="9" width="30.1796875" customWidth="1"/>
    <col min="10" max="10" width="12" customWidth="1"/>
  </cols>
  <sheetData>
    <row r="3" spans="2:10" x14ac:dyDescent="0.35">
      <c r="B3" s="4" t="s">
        <v>84</v>
      </c>
      <c r="C3" s="4" t="s">
        <v>85</v>
      </c>
      <c r="D3" s="4" t="s">
        <v>86</v>
      </c>
      <c r="E3" s="4" t="s">
        <v>87</v>
      </c>
      <c r="F3" s="4" t="s">
        <v>88</v>
      </c>
      <c r="G3" s="4" t="s">
        <v>89</v>
      </c>
      <c r="I3" s="5" t="s">
        <v>90</v>
      </c>
      <c r="J3" s="6">
        <f>COUNTIF(G4:G40,"&gt;0")</f>
        <v>10</v>
      </c>
    </row>
    <row r="4" spans="2:10" ht="16" x14ac:dyDescent="0.35">
      <c r="B4" s="7" t="s">
        <v>65</v>
      </c>
      <c r="C4" s="8" t="s">
        <v>91</v>
      </c>
      <c r="D4" s="8" t="s">
        <v>91</v>
      </c>
      <c r="E4" s="8" t="s">
        <v>91</v>
      </c>
      <c r="F4" s="8"/>
      <c r="G4" s="8">
        <v>0</v>
      </c>
      <c r="I4" s="5" t="s">
        <v>92</v>
      </c>
      <c r="J4" s="6">
        <f>COUNTIF(G4:G40,"=0")</f>
        <v>27</v>
      </c>
    </row>
    <row r="5" spans="2:10" ht="16" x14ac:dyDescent="0.35">
      <c r="B5" s="7" t="s">
        <v>53</v>
      </c>
      <c r="C5" s="9" t="s">
        <v>91</v>
      </c>
      <c r="D5" s="10" t="s">
        <v>93</v>
      </c>
      <c r="E5" s="9" t="s">
        <v>91</v>
      </c>
      <c r="F5" s="8"/>
      <c r="G5" s="8">
        <v>0</v>
      </c>
      <c r="I5" s="5" t="s">
        <v>94</v>
      </c>
      <c r="J5" s="6">
        <f>G41</f>
        <v>28</v>
      </c>
    </row>
    <row r="6" spans="2:10" ht="16" x14ac:dyDescent="0.35">
      <c r="B6" s="7" t="s">
        <v>66</v>
      </c>
      <c r="C6" s="8" t="s">
        <v>91</v>
      </c>
      <c r="D6" s="8" t="s">
        <v>91</v>
      </c>
      <c r="E6" s="8" t="s">
        <v>91</v>
      </c>
      <c r="F6" s="8"/>
      <c r="G6" s="8">
        <v>0</v>
      </c>
    </row>
    <row r="7" spans="2:10" ht="16" x14ac:dyDescent="0.35">
      <c r="B7" s="7" t="s">
        <v>62</v>
      </c>
      <c r="C7" s="9" t="s">
        <v>91</v>
      </c>
      <c r="D7" s="9" t="s">
        <v>91</v>
      </c>
      <c r="E7" s="9" t="s">
        <v>91</v>
      </c>
      <c r="F7" s="8"/>
      <c r="G7" s="8">
        <v>0</v>
      </c>
    </row>
    <row r="8" spans="2:10" ht="16" x14ac:dyDescent="0.35">
      <c r="B8" s="7" t="s">
        <v>68</v>
      </c>
      <c r="C8" s="8" t="s">
        <v>91</v>
      </c>
      <c r="D8" s="8" t="s">
        <v>91</v>
      </c>
      <c r="E8" s="8" t="s">
        <v>91</v>
      </c>
      <c r="F8" s="8"/>
      <c r="G8" s="8">
        <v>0</v>
      </c>
    </row>
    <row r="9" spans="2:10" ht="16.5" thickBot="1" x14ac:dyDescent="0.4">
      <c r="B9" s="7" t="s">
        <v>44</v>
      </c>
      <c r="C9" s="9" t="s">
        <v>91</v>
      </c>
      <c r="D9" s="9" t="s">
        <v>91</v>
      </c>
      <c r="E9" s="11" t="s">
        <v>95</v>
      </c>
      <c r="F9" s="8"/>
      <c r="G9" s="8">
        <v>0</v>
      </c>
    </row>
    <row r="10" spans="2:10" ht="16" x14ac:dyDescent="0.35">
      <c r="B10" s="7" t="s">
        <v>74</v>
      </c>
      <c r="C10" s="8" t="s">
        <v>91</v>
      </c>
      <c r="D10" s="8" t="s">
        <v>91</v>
      </c>
      <c r="E10" s="8" t="s">
        <v>91</v>
      </c>
      <c r="F10" s="8"/>
      <c r="G10" s="8">
        <v>0</v>
      </c>
    </row>
    <row r="11" spans="2:10" ht="16" x14ac:dyDescent="0.35">
      <c r="B11" s="7" t="s">
        <v>42</v>
      </c>
      <c r="C11" s="9" t="s">
        <v>91</v>
      </c>
      <c r="D11" s="9" t="s">
        <v>91</v>
      </c>
      <c r="E11" s="9" t="s">
        <v>91</v>
      </c>
      <c r="F11" s="8"/>
      <c r="G11" s="8">
        <v>0</v>
      </c>
    </row>
    <row r="12" spans="2:10" ht="16" x14ac:dyDescent="0.35">
      <c r="B12" s="7" t="s">
        <v>69</v>
      </c>
      <c r="C12" s="8" t="s">
        <v>91</v>
      </c>
      <c r="D12" s="8" t="s">
        <v>91</v>
      </c>
      <c r="E12" s="8" t="s">
        <v>91</v>
      </c>
      <c r="F12" s="8"/>
      <c r="G12" s="8">
        <v>0</v>
      </c>
    </row>
    <row r="13" spans="2:10" ht="16" x14ac:dyDescent="0.35">
      <c r="B13" s="7" t="s">
        <v>39</v>
      </c>
      <c r="C13" s="12" t="s">
        <v>96</v>
      </c>
      <c r="D13" s="12" t="s">
        <v>97</v>
      </c>
      <c r="E13" s="12" t="s">
        <v>98</v>
      </c>
      <c r="F13" s="8"/>
      <c r="G13" s="8">
        <v>3</v>
      </c>
    </row>
    <row r="14" spans="2:10" ht="16" x14ac:dyDescent="0.35">
      <c r="B14" s="7" t="s">
        <v>48</v>
      </c>
      <c r="C14" s="9" t="s">
        <v>91</v>
      </c>
      <c r="D14" s="9" t="s">
        <v>91</v>
      </c>
      <c r="E14" s="9" t="s">
        <v>91</v>
      </c>
      <c r="F14" s="8"/>
      <c r="G14" s="8">
        <v>0</v>
      </c>
    </row>
    <row r="15" spans="2:10" ht="16" x14ac:dyDescent="0.35">
      <c r="B15" s="7" t="s">
        <v>76</v>
      </c>
      <c r="C15" s="8" t="s">
        <v>91</v>
      </c>
      <c r="D15" s="8" t="s">
        <v>91</v>
      </c>
      <c r="E15" s="8" t="s">
        <v>91</v>
      </c>
      <c r="F15" s="8"/>
      <c r="G15" s="8">
        <v>0</v>
      </c>
    </row>
    <row r="16" spans="2:10" ht="16" x14ac:dyDescent="0.35">
      <c r="B16" s="7" t="s">
        <v>16</v>
      </c>
      <c r="C16" s="12" t="s">
        <v>99</v>
      </c>
      <c r="D16" s="12" t="s">
        <v>100</v>
      </c>
      <c r="E16" s="12" t="s">
        <v>101</v>
      </c>
      <c r="F16" s="8"/>
      <c r="G16" s="8">
        <v>3</v>
      </c>
    </row>
    <row r="17" spans="2:7" ht="16" x14ac:dyDescent="0.35">
      <c r="B17" s="7" t="s">
        <v>75</v>
      </c>
      <c r="C17" s="8" t="s">
        <v>91</v>
      </c>
      <c r="D17" s="8" t="s">
        <v>91</v>
      </c>
      <c r="E17" s="8" t="s">
        <v>91</v>
      </c>
      <c r="F17" s="8"/>
      <c r="G17" s="8">
        <v>0</v>
      </c>
    </row>
    <row r="18" spans="2:7" ht="16" x14ac:dyDescent="0.35">
      <c r="B18" s="7" t="s">
        <v>59</v>
      </c>
      <c r="C18" s="9" t="s">
        <v>91</v>
      </c>
      <c r="D18" s="9" t="s">
        <v>91</v>
      </c>
      <c r="E18" s="9" t="s">
        <v>91</v>
      </c>
      <c r="F18" s="8"/>
      <c r="G18" s="8">
        <v>0</v>
      </c>
    </row>
    <row r="19" spans="2:7" ht="16" x14ac:dyDescent="0.35">
      <c r="B19" s="7" t="s">
        <v>102</v>
      </c>
      <c r="C19" s="8" t="s">
        <v>91</v>
      </c>
      <c r="D19" s="8" t="s">
        <v>91</v>
      </c>
      <c r="E19" s="8" t="s">
        <v>91</v>
      </c>
      <c r="F19" s="8"/>
      <c r="G19" s="8">
        <v>0</v>
      </c>
    </row>
    <row r="20" spans="2:7" ht="16" x14ac:dyDescent="0.35">
      <c r="B20" s="7" t="s">
        <v>34</v>
      </c>
      <c r="C20" s="9" t="s">
        <v>91</v>
      </c>
      <c r="D20" s="8" t="s">
        <v>103</v>
      </c>
      <c r="E20" s="8" t="s">
        <v>104</v>
      </c>
      <c r="F20" s="8"/>
      <c r="G20" s="8">
        <v>2</v>
      </c>
    </row>
    <row r="21" spans="2:7" ht="16" x14ac:dyDescent="0.35">
      <c r="B21" s="7" t="s">
        <v>79</v>
      </c>
      <c r="C21" s="8" t="s">
        <v>91</v>
      </c>
      <c r="D21" s="8" t="s">
        <v>91</v>
      </c>
      <c r="E21" s="8" t="s">
        <v>91</v>
      </c>
      <c r="F21" s="8"/>
      <c r="G21" s="8">
        <v>0</v>
      </c>
    </row>
    <row r="22" spans="2:7" ht="16" x14ac:dyDescent="0.35">
      <c r="B22" s="7" t="s">
        <v>78</v>
      </c>
      <c r="C22" s="8" t="s">
        <v>91</v>
      </c>
      <c r="D22" s="8" t="s">
        <v>91</v>
      </c>
      <c r="E22" s="8" t="s">
        <v>91</v>
      </c>
      <c r="F22" s="8"/>
      <c r="G22" s="8">
        <v>0</v>
      </c>
    </row>
    <row r="23" spans="2:7" ht="16" x14ac:dyDescent="0.35">
      <c r="B23" s="7" t="s">
        <v>21</v>
      </c>
      <c r="C23" s="12" t="s">
        <v>105</v>
      </c>
      <c r="D23" s="12" t="s">
        <v>106</v>
      </c>
      <c r="E23" s="12" t="s">
        <v>107</v>
      </c>
      <c r="F23" s="8"/>
      <c r="G23" s="8">
        <v>3</v>
      </c>
    </row>
    <row r="24" spans="2:7" ht="16" x14ac:dyDescent="0.35">
      <c r="B24" s="7" t="s">
        <v>30</v>
      </c>
      <c r="C24" s="12" t="s">
        <v>108</v>
      </c>
      <c r="D24" s="12" t="s">
        <v>109</v>
      </c>
      <c r="E24" s="12" t="s">
        <v>110</v>
      </c>
      <c r="F24" s="8"/>
      <c r="G24" s="8">
        <v>3</v>
      </c>
    </row>
    <row r="25" spans="2:7" ht="16" x14ac:dyDescent="0.35">
      <c r="B25" s="7" t="s">
        <v>41</v>
      </c>
      <c r="C25" s="12" t="s">
        <v>111</v>
      </c>
      <c r="D25" s="8" t="s">
        <v>91</v>
      </c>
      <c r="E25" s="12" t="s">
        <v>112</v>
      </c>
      <c r="F25" s="8"/>
      <c r="G25" s="8">
        <v>2</v>
      </c>
    </row>
    <row r="26" spans="2:7" ht="16" x14ac:dyDescent="0.35">
      <c r="B26" s="7" t="s">
        <v>57</v>
      </c>
      <c r="C26" s="9" t="s">
        <v>91</v>
      </c>
      <c r="D26" s="9" t="s">
        <v>91</v>
      </c>
      <c r="E26" s="9" t="s">
        <v>91</v>
      </c>
      <c r="F26" s="8"/>
      <c r="G26" s="8">
        <v>0</v>
      </c>
    </row>
    <row r="27" spans="2:7" ht="16" x14ac:dyDescent="0.35">
      <c r="B27" s="7" t="s">
        <v>77</v>
      </c>
      <c r="C27" s="8" t="s">
        <v>91</v>
      </c>
      <c r="D27" s="8" t="s">
        <v>91</v>
      </c>
      <c r="E27" s="8" t="s">
        <v>91</v>
      </c>
      <c r="F27" s="8"/>
      <c r="G27" s="8">
        <v>0</v>
      </c>
    </row>
    <row r="28" spans="2:7" ht="16" x14ac:dyDescent="0.35">
      <c r="B28" s="7" t="s">
        <v>37</v>
      </c>
      <c r="C28" s="9" t="s">
        <v>91</v>
      </c>
      <c r="D28" s="9" t="s">
        <v>91</v>
      </c>
      <c r="E28" s="9" t="s">
        <v>91</v>
      </c>
      <c r="F28" s="8"/>
      <c r="G28" s="8">
        <v>0</v>
      </c>
    </row>
    <row r="29" spans="2:7" ht="16" x14ac:dyDescent="0.35">
      <c r="B29" s="7" t="s">
        <v>67</v>
      </c>
      <c r="C29" s="13" t="s">
        <v>113</v>
      </c>
      <c r="D29" s="13" t="s">
        <v>114</v>
      </c>
      <c r="E29" s="13" t="s">
        <v>115</v>
      </c>
      <c r="F29" s="8"/>
      <c r="G29" s="8">
        <v>4</v>
      </c>
    </row>
    <row r="30" spans="2:7" ht="16" x14ac:dyDescent="0.35">
      <c r="B30" s="7" t="s">
        <v>26</v>
      </c>
      <c r="C30" s="12" t="s">
        <v>116</v>
      </c>
      <c r="D30" s="12" t="s">
        <v>117</v>
      </c>
      <c r="E30" s="9" t="s">
        <v>91</v>
      </c>
      <c r="F30" s="8"/>
      <c r="G30" s="8">
        <v>2</v>
      </c>
    </row>
    <row r="31" spans="2:7" ht="16" x14ac:dyDescent="0.35">
      <c r="B31" s="7" t="s">
        <v>63</v>
      </c>
      <c r="C31" s="14" t="s">
        <v>91</v>
      </c>
      <c r="D31" s="8" t="s">
        <v>91</v>
      </c>
      <c r="E31" s="8" t="s">
        <v>91</v>
      </c>
      <c r="F31" s="8"/>
      <c r="G31" s="8">
        <v>0</v>
      </c>
    </row>
    <row r="32" spans="2:7" ht="16" x14ac:dyDescent="0.35">
      <c r="B32" s="7" t="s">
        <v>72</v>
      </c>
      <c r="C32" s="8" t="s">
        <v>91</v>
      </c>
      <c r="D32" s="8" t="s">
        <v>91</v>
      </c>
      <c r="E32" s="8" t="s">
        <v>91</v>
      </c>
      <c r="F32" s="8"/>
      <c r="G32" s="8">
        <v>0</v>
      </c>
    </row>
    <row r="33" spans="2:7" ht="16" x14ac:dyDescent="0.35">
      <c r="B33" s="7" t="s">
        <v>81</v>
      </c>
      <c r="C33" s="8" t="s">
        <v>91</v>
      </c>
      <c r="D33" s="8" t="s">
        <v>91</v>
      </c>
      <c r="E33" s="8" t="s">
        <v>91</v>
      </c>
      <c r="F33" s="8"/>
      <c r="G33" s="8">
        <v>0</v>
      </c>
    </row>
    <row r="34" spans="2:7" ht="16" x14ac:dyDescent="0.35">
      <c r="B34" s="7" t="s">
        <v>73</v>
      </c>
      <c r="C34" s="8" t="s">
        <v>91</v>
      </c>
      <c r="D34" s="8" t="s">
        <v>91</v>
      </c>
      <c r="E34" s="8" t="s">
        <v>91</v>
      </c>
      <c r="F34" s="8"/>
      <c r="G34" s="8">
        <v>0</v>
      </c>
    </row>
    <row r="35" spans="2:7" ht="16" x14ac:dyDescent="0.35">
      <c r="B35" s="7" t="s">
        <v>118</v>
      </c>
      <c r="C35" s="8" t="s">
        <v>91</v>
      </c>
      <c r="D35" s="8" t="s">
        <v>91</v>
      </c>
      <c r="E35" s="8" t="s">
        <v>91</v>
      </c>
      <c r="F35" s="8"/>
      <c r="G35" s="8">
        <v>0</v>
      </c>
    </row>
    <row r="36" spans="2:7" ht="16" x14ac:dyDescent="0.35">
      <c r="B36" s="7" t="s">
        <v>70</v>
      </c>
      <c r="C36" s="8" t="s">
        <v>91</v>
      </c>
      <c r="D36" s="8" t="s">
        <v>91</v>
      </c>
      <c r="E36" s="8" t="s">
        <v>91</v>
      </c>
      <c r="F36" s="8"/>
      <c r="G36" s="8">
        <v>0</v>
      </c>
    </row>
    <row r="37" spans="2:7" ht="16" x14ac:dyDescent="0.35">
      <c r="B37" s="7" t="s">
        <v>32</v>
      </c>
      <c r="C37" s="12" t="s">
        <v>119</v>
      </c>
      <c r="D37" s="12" t="s">
        <v>120</v>
      </c>
      <c r="E37" s="12" t="s">
        <v>121</v>
      </c>
      <c r="F37" s="8"/>
      <c r="G37" s="8">
        <v>3</v>
      </c>
    </row>
    <row r="38" spans="2:7" ht="16" x14ac:dyDescent="0.35">
      <c r="B38" s="7" t="s">
        <v>52</v>
      </c>
      <c r="C38" s="8" t="s">
        <v>91</v>
      </c>
      <c r="D38" s="8" t="s">
        <v>91</v>
      </c>
      <c r="E38" s="8" t="s">
        <v>91</v>
      </c>
      <c r="F38" s="8"/>
      <c r="G38" s="8">
        <v>0</v>
      </c>
    </row>
    <row r="39" spans="2:7" ht="16" x14ac:dyDescent="0.35">
      <c r="B39" s="7" t="s">
        <v>56</v>
      </c>
      <c r="C39" s="8" t="s">
        <v>91</v>
      </c>
      <c r="D39" s="8" t="s">
        <v>91</v>
      </c>
      <c r="E39" s="8" t="s">
        <v>91</v>
      </c>
      <c r="F39" s="8"/>
      <c r="G39" s="8">
        <v>0</v>
      </c>
    </row>
    <row r="40" spans="2:7" ht="60.65" customHeight="1" x14ac:dyDescent="0.35">
      <c r="B40" s="15" t="s">
        <v>122</v>
      </c>
      <c r="C40" s="8" t="s">
        <v>91</v>
      </c>
      <c r="D40" s="8" t="s">
        <v>91</v>
      </c>
      <c r="E40" s="16" t="s">
        <v>123</v>
      </c>
      <c r="F40" s="17"/>
      <c r="G40" s="8">
        <v>3</v>
      </c>
    </row>
    <row r="41" spans="2:7" x14ac:dyDescent="0.35">
      <c r="B41" s="93"/>
      <c r="C41" s="94"/>
      <c r="D41" s="94"/>
      <c r="E41" s="94"/>
      <c r="F41" s="95"/>
      <c r="G41" s="8">
        <f>G40+G39+G38+G37+G36+G35+G34+G33+G32+G31+G30+G29+G28+G27+G26+G25+G24+G23+G22+G21+G20+G19+G18+G17+G16+G15+G14+G13+G12+G11+G10+G9+G8+G7+G6+G5+G4</f>
        <v>28</v>
      </c>
    </row>
  </sheetData>
  <mergeCells count="1">
    <mergeCell ref="B41:F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AA89-13DA-4A74-8938-CD3CD10FA668}">
  <sheetPr>
    <tabColor theme="9" tint="-0.499984740745262"/>
    <pageSetUpPr fitToPage="1"/>
  </sheetPr>
  <dimension ref="B1:K14"/>
  <sheetViews>
    <sheetView showGridLines="0" topLeftCell="A8" zoomScale="80" zoomScaleNormal="80" workbookViewId="0">
      <selection activeCell="G10" sqref="G10"/>
    </sheetView>
  </sheetViews>
  <sheetFormatPr defaultColWidth="11.453125" defaultRowHeight="14.5" x14ac:dyDescent="0.35"/>
  <cols>
    <col min="1" max="1" width="3.54296875" style="18" customWidth="1"/>
    <col min="2" max="2" width="23.7265625" style="18" customWidth="1"/>
    <col min="3" max="8" width="22.81640625" style="18" customWidth="1"/>
    <col min="9" max="9" width="3.54296875" style="18" customWidth="1"/>
    <col min="10" max="10" width="35.453125" style="18" customWidth="1"/>
    <col min="11" max="11" width="24.54296875" style="18" customWidth="1"/>
    <col min="12" max="16384" width="11.453125" style="18"/>
  </cols>
  <sheetData>
    <row r="1" spans="2:11" ht="59.25" customHeight="1" x14ac:dyDescent="0.35">
      <c r="B1" s="27" t="str">
        <f>"November "&amp;CalendarYear</f>
        <v>November 2025</v>
      </c>
      <c r="C1" s="26"/>
      <c r="D1" s="26"/>
      <c r="E1" s="25"/>
      <c r="F1" s="25"/>
      <c r="G1" s="25"/>
      <c r="H1" s="24"/>
    </row>
    <row r="2" spans="2:11" ht="61.5" customHeight="1" x14ac:dyDescent="0.35">
      <c r="B2" s="23" t="str">
        <f>IF(WeekStart="SUNDAY", "SUNDAY","MONDAY")</f>
        <v>SUNDAY</v>
      </c>
      <c r="C2" s="23" t="str">
        <f t="shared" ref="C2:H2" si="0">UPPER(TEXT(C3,"dddd"))</f>
        <v>MONDAY</v>
      </c>
      <c r="D2" s="23" t="str">
        <f t="shared" si="0"/>
        <v>TUESDAY</v>
      </c>
      <c r="E2" s="23" t="str">
        <f t="shared" si="0"/>
        <v>WEDNESDAY</v>
      </c>
      <c r="F2" s="23" t="str">
        <f t="shared" si="0"/>
        <v>THURSDAY</v>
      </c>
      <c r="G2" s="23" t="str">
        <f t="shared" si="0"/>
        <v>FRIDAY</v>
      </c>
      <c r="H2" s="23" t="str">
        <f t="shared" si="0"/>
        <v>SATURDAY</v>
      </c>
      <c r="J2" s="62" t="s">
        <v>124</v>
      </c>
      <c r="K2" s="63"/>
    </row>
    <row r="3" spans="2:11" ht="76" customHeight="1" x14ac:dyDescent="0.35">
      <c r="B3" s="22">
        <f t="array" ref="B3:H3">DaysAndWeeks+DATE(CalendarYear,11,1)-WEEKDAY(DATE(CalendarYear,11,1),(WeekStart="Monday")+1)+1</f>
        <v>45956</v>
      </c>
      <c r="C3" s="22">
        <v>45957</v>
      </c>
      <c r="D3" s="22">
        <v>45958</v>
      </c>
      <c r="E3" s="22">
        <v>45959</v>
      </c>
      <c r="F3" s="22">
        <v>45960</v>
      </c>
      <c r="G3" s="22">
        <v>45961</v>
      </c>
      <c r="H3" s="22">
        <v>45962</v>
      </c>
      <c r="J3" s="62" t="s">
        <v>125</v>
      </c>
      <c r="K3" s="62" t="s">
        <v>126</v>
      </c>
    </row>
    <row r="4" spans="2:11" ht="79.5" customHeight="1" x14ac:dyDescent="0.35">
      <c r="B4" s="22"/>
      <c r="C4" s="22"/>
      <c r="D4" s="22"/>
      <c r="E4" s="22"/>
      <c r="F4" s="22"/>
      <c r="G4" s="22"/>
      <c r="H4" s="22"/>
      <c r="J4" s="60" t="s">
        <v>127</v>
      </c>
      <c r="K4" s="60" t="s">
        <v>128</v>
      </c>
    </row>
    <row r="5" spans="2:11" ht="19.5" customHeight="1" x14ac:dyDescent="0.35">
      <c r="B5" s="20">
        <f t="array" ref="B5:H5">DaysAndWeeks+DATE(CalendarYear,11,1)-WEEKDAY(DATE(CalendarYear,11,1),(WeekStart="Monday")+1)+8</f>
        <v>45963</v>
      </c>
      <c r="C5" s="20">
        <v>45964</v>
      </c>
      <c r="D5" s="20">
        <v>45965</v>
      </c>
      <c r="E5" s="20">
        <v>45966</v>
      </c>
      <c r="F5" s="20">
        <v>45967</v>
      </c>
      <c r="G5" s="20">
        <v>45968</v>
      </c>
      <c r="H5" s="20">
        <v>45969</v>
      </c>
    </row>
    <row r="6" spans="2:11" ht="58" customHeight="1" x14ac:dyDescent="0.35">
      <c r="B6" s="64" t="s">
        <v>129</v>
      </c>
      <c r="C6" s="20" t="s">
        <v>130</v>
      </c>
      <c r="D6" s="20" t="s">
        <v>130</v>
      </c>
      <c r="E6" s="20" t="s">
        <v>130</v>
      </c>
      <c r="F6" s="20" t="s">
        <v>130</v>
      </c>
      <c r="G6" s="20" t="s">
        <v>130</v>
      </c>
      <c r="H6" s="20" t="s">
        <v>130</v>
      </c>
      <c r="J6" s="66" t="s">
        <v>131</v>
      </c>
    </row>
    <row r="7" spans="2:11" ht="35.15" customHeight="1" x14ac:dyDescent="0.35">
      <c r="B7" s="22">
        <f t="array" ref="B7:H7">DaysAndWeeks+DATE(CalendarYear,11,1)-WEEKDAY(DATE(CalendarYear,11,1),(WeekStart="Monday")+1)+15</f>
        <v>45970</v>
      </c>
      <c r="C7" s="22">
        <v>45971</v>
      </c>
      <c r="D7" s="22">
        <v>45972</v>
      </c>
      <c r="E7" s="22">
        <v>45973</v>
      </c>
      <c r="F7" s="22">
        <v>45974</v>
      </c>
      <c r="G7" s="22">
        <v>45975</v>
      </c>
      <c r="H7" s="22">
        <v>45976</v>
      </c>
    </row>
    <row r="8" spans="2:11" ht="116.5" customHeight="1" x14ac:dyDescent="0.35">
      <c r="B8" s="22"/>
      <c r="C8" s="70" t="s">
        <v>132</v>
      </c>
      <c r="D8" s="70" t="s">
        <v>132</v>
      </c>
      <c r="E8" s="70" t="s">
        <v>133</v>
      </c>
      <c r="F8" s="70" t="s">
        <v>134</v>
      </c>
      <c r="G8" s="70" t="s">
        <v>134</v>
      </c>
      <c r="H8" s="70" t="s">
        <v>135</v>
      </c>
      <c r="J8" s="65"/>
    </row>
    <row r="9" spans="2:11" ht="19.5" customHeight="1" x14ac:dyDescent="0.35">
      <c r="B9" s="20">
        <f t="array" ref="B9:H9">DaysAndWeeks+DATE(CalendarYear,11,1)-WEEKDAY(DATE(CalendarYear,11,1),(WeekStart="Monday")+1)+22</f>
        <v>45977</v>
      </c>
      <c r="C9" s="20">
        <v>45978</v>
      </c>
      <c r="D9" s="20">
        <v>45979</v>
      </c>
      <c r="E9" s="20">
        <v>45980</v>
      </c>
      <c r="F9" s="20">
        <v>45981</v>
      </c>
      <c r="G9" s="20">
        <v>45982</v>
      </c>
      <c r="H9" s="20">
        <v>45983</v>
      </c>
    </row>
    <row r="10" spans="2:11" ht="58" customHeight="1" x14ac:dyDescent="0.35">
      <c r="B10" s="20"/>
      <c r="C10" s="20"/>
      <c r="D10" s="20"/>
      <c r="E10" s="20" t="s">
        <v>136</v>
      </c>
      <c r="F10" s="20" t="s">
        <v>137</v>
      </c>
      <c r="G10" s="20" t="s">
        <v>137</v>
      </c>
      <c r="H10" s="20" t="s">
        <v>138</v>
      </c>
    </row>
    <row r="11" spans="2:11" ht="19.5" customHeight="1" x14ac:dyDescent="0.35">
      <c r="B11" s="22">
        <f t="array" ref="B11:H11">DaysAndWeeks+DATE(CalendarYear,11,1)-WEEKDAY(DATE(CalendarYear,11,1),(WeekStart="Monday")+1)+29</f>
        <v>45984</v>
      </c>
      <c r="C11" s="22">
        <v>45985</v>
      </c>
      <c r="D11" s="22">
        <v>45986</v>
      </c>
      <c r="E11" s="22">
        <v>45987</v>
      </c>
      <c r="F11" s="22">
        <v>45988</v>
      </c>
      <c r="G11" s="22">
        <v>45989</v>
      </c>
      <c r="H11" s="22">
        <v>45990</v>
      </c>
    </row>
    <row r="12" spans="2:11" ht="58" customHeight="1" x14ac:dyDescent="0.35">
      <c r="B12" s="22"/>
      <c r="C12" s="20" t="s">
        <v>139</v>
      </c>
      <c r="D12" s="20" t="s">
        <v>140</v>
      </c>
      <c r="E12" s="20" t="s">
        <v>141</v>
      </c>
      <c r="F12" s="20" t="s">
        <v>142</v>
      </c>
      <c r="G12" s="20" t="s">
        <v>143</v>
      </c>
      <c r="H12" s="22"/>
    </row>
    <row r="13" spans="2:11" ht="19.5" customHeight="1" x14ac:dyDescent="0.35">
      <c r="B13" s="20">
        <f t="array" ref="B13:C13">DaysAndWeeks+DATE(CalendarYear,11,1)-WEEKDAY(DATE(CalendarYear,11,1),(WeekStart="Monday")+1)+36</f>
        <v>45991</v>
      </c>
      <c r="C13" s="20">
        <v>45992</v>
      </c>
      <c r="D13" s="21" t="s">
        <v>144</v>
      </c>
      <c r="E13" s="96"/>
      <c r="F13" s="96"/>
      <c r="G13" s="96"/>
      <c r="H13" s="97"/>
    </row>
    <row r="14" spans="2:11" ht="58" customHeight="1" x14ac:dyDescent="0.35">
      <c r="B14" s="20"/>
      <c r="C14" s="20"/>
      <c r="D14" s="19"/>
      <c r="E14" s="98"/>
      <c r="F14" s="98"/>
      <c r="G14" s="98"/>
      <c r="H14" s="99"/>
    </row>
  </sheetData>
  <mergeCells count="1">
    <mergeCell ref="E13:H14"/>
  </mergeCells>
  <phoneticPr fontId="4" type="noConversion"/>
  <conditionalFormatting sqref="B13:D13">
    <cfRule type="expression" dxfId="5" priority="1">
      <formula>AND(DAY(B13)&gt;=1,DAY(B13)&lt;=15)</formula>
    </cfRule>
  </conditionalFormatting>
  <conditionalFormatting sqref="B3:G3">
    <cfRule type="expression" dxfId="4" priority="2">
      <formula>DAY(B3)&gt;8</formula>
    </cfRule>
  </conditionalFormatting>
  <conditionalFormatting sqref="B11:H11">
    <cfRule type="expression" dxfId="3" priority="3">
      <formula>AND(DAY(B11)&gt;=1,DAY(B11)&lt;=15)</formula>
    </cfRule>
  </conditionalFormatting>
  <dataValidations count="9">
    <dataValidation allowBlank="1" showInputMessage="1" showErrorMessage="1" prompt="The year in this cell is automatically updated. Select another year in cell K3 of the January worksheet to change the year" sqref="C1" xr:uid="{3A4E290F-6134-4539-A45D-9C6B0C71CC5F}"/>
    <dataValidation allowBlank="1" showInputMessage="1" showErrorMessage="1" prompt="This row &amp; rows 6, 8, 10, 12, &amp; 14 are cells for entering daily notes related to the calendar day in the cell above" sqref="B4" xr:uid="{00000000-0002-0000-0A00-000008000000}"/>
    <dataValidation allowBlank="1" showInputMessage="1" showErrorMessage="1" prompt="Enter Notes in this cell" sqref="E13:H14" xr:uid="{00000000-0002-0000-0A00-000007000000}"/>
    <dataValidation allowBlank="1" showInputMessage="1" showErrorMessage="1" prompt="Enter Notes in the cell at right" sqref="D13:D14" xr:uid="{00000000-0002-0000-0A00-000006000000}"/>
    <dataValidation allowBlank="1" showInputMessage="1" showErrorMessage="1" prompt="November month calendar" sqref="A1" xr:uid="{00000000-0002-0000-0A00-000005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A00-000003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A00-000002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A00-000001000000}"/>
    <dataValidation allowBlank="1" showInputMessage="1" showErrorMessage="1" prompt="Automatically determined weekday" sqref="C2:H2" xr:uid="{00000000-0002-0000-0A00-000000000000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7486-DF85-48BE-8C88-44CFB8E63389}">
  <sheetPr>
    <tabColor theme="6" tint="-0.249977111117893"/>
    <pageSetUpPr fitToPage="1"/>
  </sheetPr>
  <dimension ref="B1:J14"/>
  <sheetViews>
    <sheetView showGridLines="0" zoomScale="65" zoomScaleNormal="80" workbookViewId="0">
      <selection activeCell="C4" sqref="C4"/>
    </sheetView>
  </sheetViews>
  <sheetFormatPr defaultColWidth="11.453125" defaultRowHeight="14.5" x14ac:dyDescent="0.35"/>
  <cols>
    <col min="1" max="1" width="3.54296875" style="18" customWidth="1"/>
    <col min="2" max="2" width="23.7265625" style="18" customWidth="1"/>
    <col min="3" max="8" width="22.81640625" style="18" customWidth="1"/>
    <col min="9" max="9" width="3.54296875" style="18" customWidth="1"/>
    <col min="10" max="10" width="19.453125" style="18" customWidth="1"/>
    <col min="11" max="16384" width="11.453125" style="18"/>
  </cols>
  <sheetData>
    <row r="1" spans="2:10" ht="59.25" customHeight="1" x14ac:dyDescent="0.35">
      <c r="B1" s="31" t="str">
        <f>"December "&amp;CalendarYear</f>
        <v>December 2025</v>
      </c>
      <c r="C1" s="30"/>
      <c r="D1" s="30"/>
      <c r="E1" s="29"/>
      <c r="F1" s="29"/>
      <c r="G1" s="29"/>
      <c r="H1" s="28"/>
    </row>
    <row r="2" spans="2:10" ht="21.75" customHeight="1" x14ac:dyDescent="0.35">
      <c r="B2" s="23" t="str">
        <f>IF(WeekStart="SUNDAY", "SUNDAY","MONDAY")</f>
        <v>SUNDAY</v>
      </c>
      <c r="C2" s="23" t="str">
        <f t="shared" ref="C2:H2" si="0">UPPER(TEXT(C3,"dddd"))</f>
        <v>MONDAY</v>
      </c>
      <c r="D2" s="23" t="str">
        <f t="shared" si="0"/>
        <v>TUESDAY</v>
      </c>
      <c r="E2" s="23" t="str">
        <f t="shared" si="0"/>
        <v>WEDNESDAY</v>
      </c>
      <c r="F2" s="23" t="str">
        <f t="shared" si="0"/>
        <v>THURSDAY</v>
      </c>
      <c r="G2" s="23" t="str">
        <f t="shared" si="0"/>
        <v>FRIDAY</v>
      </c>
      <c r="H2" s="23" t="str">
        <f t="shared" si="0"/>
        <v>SATURDAY</v>
      </c>
    </row>
    <row r="3" spans="2:10" ht="19.5" customHeight="1" x14ac:dyDescent="0.35">
      <c r="B3" s="22">
        <f t="array" ref="B3:H3">DaysAndWeeks+DATE(CalendarYear,12,1)-WEEKDAY(DATE(CalendarYear,12,1),(WeekStart="Monday")+1)+1</f>
        <v>45991</v>
      </c>
      <c r="C3" s="22">
        <v>45992</v>
      </c>
      <c r="D3" s="22">
        <v>45993</v>
      </c>
      <c r="E3" s="22">
        <v>45994</v>
      </c>
      <c r="F3" s="22">
        <v>45995</v>
      </c>
      <c r="G3" s="22">
        <v>45996</v>
      </c>
      <c r="H3" s="22">
        <v>45997</v>
      </c>
    </row>
    <row r="4" spans="2:10" ht="58" customHeight="1" x14ac:dyDescent="0.35">
      <c r="B4" s="22"/>
      <c r="C4" s="20" t="s">
        <v>145</v>
      </c>
      <c r="D4" s="20" t="s">
        <v>145</v>
      </c>
      <c r="E4" s="20" t="s">
        <v>145</v>
      </c>
      <c r="F4" s="20" t="s">
        <v>146</v>
      </c>
      <c r="G4" s="20" t="s">
        <v>146</v>
      </c>
      <c r="H4" s="20"/>
      <c r="J4" s="60" t="s">
        <v>147</v>
      </c>
    </row>
    <row r="5" spans="2:10" ht="19.5" customHeight="1" x14ac:dyDescent="0.35">
      <c r="B5" s="20">
        <f t="array" ref="B5:H5">DaysAndWeeks+DATE(CalendarYear,12,1)-WEEKDAY(DATE(CalendarYear,12,1),(WeekStart="Monday")+1)+8</f>
        <v>45998</v>
      </c>
      <c r="C5" s="20">
        <v>45999</v>
      </c>
      <c r="D5" s="20">
        <v>46000</v>
      </c>
      <c r="E5" s="20">
        <v>46001</v>
      </c>
      <c r="F5" s="20">
        <v>46002</v>
      </c>
      <c r="G5" s="20">
        <v>46003</v>
      </c>
      <c r="H5" s="20">
        <v>46004</v>
      </c>
    </row>
    <row r="6" spans="2:10" ht="58" customHeight="1" x14ac:dyDescent="0.35">
      <c r="B6" s="20"/>
      <c r="C6" s="20" t="s">
        <v>155</v>
      </c>
      <c r="D6" s="20" t="s">
        <v>156</v>
      </c>
      <c r="E6" s="20" t="s">
        <v>157</v>
      </c>
      <c r="F6" s="20" t="s">
        <v>158</v>
      </c>
      <c r="G6" s="20" t="s">
        <v>158</v>
      </c>
      <c r="H6" s="20"/>
    </row>
    <row r="7" spans="2:10" ht="19.5" customHeight="1" x14ac:dyDescent="0.35">
      <c r="B7" s="22">
        <f t="array" ref="B7:H7">DaysAndWeeks+DATE(CalendarYear,12,1)-WEEKDAY(DATE(CalendarYear,12,1),(WeekStart="Monday")+1)+15</f>
        <v>46005</v>
      </c>
      <c r="C7" s="22">
        <v>46006</v>
      </c>
      <c r="D7" s="22">
        <v>46007</v>
      </c>
      <c r="E7" s="22">
        <v>46008</v>
      </c>
      <c r="F7" s="22">
        <v>46009</v>
      </c>
      <c r="G7" s="22">
        <v>46010</v>
      </c>
      <c r="H7" s="22">
        <v>46011</v>
      </c>
    </row>
    <row r="8" spans="2:10" ht="58" customHeight="1" x14ac:dyDescent="0.35">
      <c r="B8" s="22"/>
      <c r="C8" s="71" t="s">
        <v>148</v>
      </c>
      <c r="D8" s="71" t="s">
        <v>148</v>
      </c>
      <c r="E8" s="71" t="s">
        <v>149</v>
      </c>
      <c r="F8" s="71" t="s">
        <v>150</v>
      </c>
      <c r="G8" s="71" t="s">
        <v>151</v>
      </c>
      <c r="H8" s="22" t="s">
        <v>152</v>
      </c>
    </row>
    <row r="9" spans="2:10" ht="19.5" customHeight="1" x14ac:dyDescent="0.35">
      <c r="B9" s="20">
        <f t="array" ref="B9:H9">DaysAndWeeks+DATE(CalendarYear,12,1)-WEEKDAY(DATE(CalendarYear,12,1),(WeekStart="Monday")+1)+22</f>
        <v>46012</v>
      </c>
      <c r="C9" s="20">
        <v>46013</v>
      </c>
      <c r="D9" s="20">
        <v>46014</v>
      </c>
      <c r="E9" s="20">
        <v>46015</v>
      </c>
      <c r="F9" s="20">
        <v>46016</v>
      </c>
      <c r="G9" s="20">
        <v>46017</v>
      </c>
      <c r="H9" s="20">
        <v>46018</v>
      </c>
    </row>
    <row r="10" spans="2:10" ht="58" customHeight="1" x14ac:dyDescent="0.35">
      <c r="B10" s="20"/>
      <c r="C10" s="20"/>
      <c r="D10" s="20"/>
      <c r="E10" s="20"/>
      <c r="F10" s="20"/>
      <c r="G10" s="20"/>
      <c r="H10" s="20"/>
    </row>
    <row r="11" spans="2:10" ht="19.5" customHeight="1" x14ac:dyDescent="0.35">
      <c r="B11" s="22">
        <f t="array" ref="B11:H11">DaysAndWeeks+DATE(CalendarYear,12,1)-WEEKDAY(DATE(CalendarYear,12,1),(WeekStart="Monday")+1)+29</f>
        <v>46019</v>
      </c>
      <c r="C11" s="22">
        <v>46020</v>
      </c>
      <c r="D11" s="22">
        <v>46021</v>
      </c>
      <c r="E11" s="22">
        <v>46022</v>
      </c>
      <c r="F11" s="22">
        <v>46023</v>
      </c>
      <c r="G11" s="22">
        <v>46024</v>
      </c>
      <c r="H11" s="22">
        <v>46025</v>
      </c>
    </row>
    <row r="12" spans="2:10" ht="58" customHeight="1" x14ac:dyDescent="0.35">
      <c r="B12" s="22"/>
      <c r="C12" s="22"/>
      <c r="D12" s="22"/>
      <c r="E12" s="22"/>
      <c r="F12" s="22"/>
      <c r="G12" s="22"/>
      <c r="H12" s="22"/>
    </row>
    <row r="13" spans="2:10" ht="19.5" customHeight="1" x14ac:dyDescent="0.35">
      <c r="B13" s="20">
        <f t="array" ref="B13:C13">DaysAndWeeks+DATE(CalendarYear,12,1)-WEEKDAY(DATE(CalendarYear,12,1),(WeekStart="Monday")+1)+36</f>
        <v>46026</v>
      </c>
      <c r="C13" s="20">
        <v>46027</v>
      </c>
      <c r="D13" s="21" t="s">
        <v>144</v>
      </c>
      <c r="E13" s="96"/>
      <c r="F13" s="96"/>
      <c r="G13" s="96"/>
      <c r="H13" s="97"/>
    </row>
    <row r="14" spans="2:10" ht="58" customHeight="1" x14ac:dyDescent="0.35">
      <c r="B14" s="20"/>
      <c r="C14" s="20"/>
      <c r="D14" s="19"/>
      <c r="E14" s="98"/>
      <c r="F14" s="98"/>
      <c r="G14" s="98"/>
      <c r="H14" s="99"/>
    </row>
  </sheetData>
  <mergeCells count="1">
    <mergeCell ref="E13:H14"/>
  </mergeCells>
  <phoneticPr fontId="4" type="noConversion"/>
  <conditionalFormatting sqref="B13:D13">
    <cfRule type="expression" dxfId="2" priority="1">
      <formula>AND(DAY(B13)&gt;=1,DAY(B13)&lt;=15)</formula>
    </cfRule>
  </conditionalFormatting>
  <conditionalFormatting sqref="B3:G3">
    <cfRule type="expression" dxfId="1" priority="2">
      <formula>DAY(B3)&gt;8</formula>
    </cfRule>
  </conditionalFormatting>
  <conditionalFormatting sqref="B11:H11">
    <cfRule type="expression" dxfId="0" priority="3">
      <formula>AND(DAY(B11)&gt;=1,DAY(B11)&lt;=15)</formula>
    </cfRule>
  </conditionalFormatting>
  <dataValidations count="9">
    <dataValidation allowBlank="1" showInputMessage="1" showErrorMessage="1" prompt="The year in this cell is automatically updated. Select another year in cell K3 of the January worksheet to change the year" sqref="C1" xr:uid="{0ED9C6F5-D117-4D38-BF48-93FAA0D1B91E}"/>
    <dataValidation allowBlank="1" showInputMessage="1" showErrorMessage="1" prompt="This row &amp; rows 6, 8, 10, 12, &amp; 14 are cells for entering daily notes related to the calendar day in the cell above" sqref="B4" xr:uid="{00000000-0002-0000-0B00-000008000000}"/>
    <dataValidation allowBlank="1" showInputMessage="1" showErrorMessage="1" prompt="Enter Notes in this cell" sqref="E13:H14" xr:uid="{00000000-0002-0000-0B00-000007000000}"/>
    <dataValidation allowBlank="1" showInputMessage="1" showErrorMessage="1" prompt="Enter Notes in the cell at right" sqref="D13:D14" xr:uid="{00000000-0002-0000-0B00-000006000000}"/>
    <dataValidation allowBlank="1" showInputMessage="1" showErrorMessage="1" prompt="December month calendar" sqref="A1" xr:uid="{00000000-0002-0000-0B00-000005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B00-000003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B00-000002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B00-000001000000}"/>
    <dataValidation allowBlank="1" showInputMessage="1" showErrorMessage="1" prompt="Automatically determined weekday" sqref="C2:H2" xr:uid="{00000000-0002-0000-0B00-000000000000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SCORECARD</vt:lpstr>
      <vt:lpstr>GOVERNMENT CONTRIBUTION</vt:lpstr>
      <vt:lpstr>M and E training</vt:lpstr>
      <vt:lpstr>November</vt:lpstr>
      <vt:lpstr>December</vt:lpstr>
      <vt:lpstr>ColumnTitleRegion1..H12.11</vt:lpstr>
      <vt:lpstr>ColumnTitleRegion1..H12.12</vt:lpstr>
      <vt:lpstr>ColumnTitleRegion2..C14.11</vt:lpstr>
      <vt:lpstr>ColumnTitleRegion2..C14.12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Yetunde Fatogun</dc:creator>
  <cp:keywords/>
  <dc:description/>
  <cp:lastModifiedBy>Yetunde Fatogun</cp:lastModifiedBy>
  <cp:revision/>
  <dcterms:created xsi:type="dcterms:W3CDTF">2025-10-10T10:22:34Z</dcterms:created>
  <dcterms:modified xsi:type="dcterms:W3CDTF">2025-11-28T05:54:49Z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2025-10-30T09:49:27Z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4c810a63-b763-4a65-9b45-fa95ac30b830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